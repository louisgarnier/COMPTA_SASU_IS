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louisgarnier/Desktop/"/>
    </mc:Choice>
  </mc:AlternateContent>
  <xr:revisionPtr revIDLastSave="0" documentId="13_ncr:1_{2C97D4BA-1393-3C47-8727-D1EB6FCEC024}" xr6:coauthVersionLast="47" xr6:coauthVersionMax="47" xr10:uidLastSave="{00000000-0000-0000-0000-000000000000}"/>
  <bookViews>
    <workbookView xWindow="0" yWindow="660" windowWidth="30240" windowHeight="18980" xr2:uid="{5DB0F06B-8D5A-2E46-86DC-20348096EE2D}"/>
  </bookViews>
  <sheets>
    <sheet name="summary" sheetId="1" r:id="rId1"/>
    <sheet name="Factu" sheetId="2" r:id="rId2"/>
    <sheet name="revolut" sheetId="3" r:id="rId3"/>
    <sheet name="Sheet4" sheetId="4" r:id="rId4"/>
  </sheets>
  <definedNames>
    <definedName name="_xlnm._FilterDatabase" localSheetId="1" hidden="1">Factu!#REF!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2" i="1" l="1"/>
  <c r="X37" i="1"/>
  <c r="X52" i="1"/>
  <c r="X55" i="1" s="1"/>
  <c r="Z55" i="1" s="1"/>
  <c r="X11" i="1"/>
  <c r="X14" i="1" s="1"/>
  <c r="Z14" i="1" s="1"/>
  <c r="Q62" i="1"/>
  <c r="X40" i="1"/>
  <c r="Z40" i="1" s="1"/>
  <c r="Q48" i="1"/>
  <c r="Q53" i="1"/>
  <c r="Q39" i="1"/>
  <c r="Z54" i="1"/>
  <c r="K60" i="1"/>
  <c r="K57" i="1"/>
  <c r="K54" i="1"/>
  <c r="K59" i="1"/>
  <c r="K56" i="1"/>
  <c r="K53" i="1"/>
  <c r="M60" i="1"/>
  <c r="G60" i="1"/>
  <c r="F60" i="1"/>
  <c r="G59" i="1"/>
  <c r="M59" i="1" s="1"/>
  <c r="F59" i="1"/>
  <c r="G57" i="1"/>
  <c r="F57" i="1"/>
  <c r="G56" i="1"/>
  <c r="M56" i="1" s="1"/>
  <c r="F56" i="1"/>
  <c r="G54" i="1"/>
  <c r="F54" i="1"/>
  <c r="G53" i="1"/>
  <c r="M53" i="1" s="1"/>
  <c r="F53" i="1"/>
  <c r="Z39" i="1"/>
  <c r="Z13" i="1"/>
  <c r="Q13" i="1"/>
  <c r="R11" i="1"/>
  <c r="R10" i="1"/>
  <c r="S10" i="1"/>
  <c r="R9" i="1"/>
  <c r="Q8" i="1" s="1"/>
  <c r="Q17" i="1" s="1"/>
  <c r="N48" i="1"/>
  <c r="N45" i="1"/>
  <c r="N42" i="1"/>
  <c r="N39" i="1"/>
  <c r="K43" i="1"/>
  <c r="K46" i="1"/>
  <c r="K45" i="1"/>
  <c r="K42" i="1"/>
  <c r="K40" i="1"/>
  <c r="K39" i="1"/>
  <c r="F255" i="3"/>
  <c r="F211" i="3"/>
  <c r="F208" i="3"/>
  <c r="F207" i="3"/>
  <c r="F205" i="3"/>
  <c r="F190" i="3"/>
  <c r="F170" i="3"/>
  <c r="F165" i="3"/>
  <c r="F163" i="3"/>
  <c r="F148" i="3"/>
  <c r="F144" i="3"/>
  <c r="F135" i="3"/>
  <c r="F112" i="3"/>
  <c r="F75" i="3"/>
  <c r="F36" i="3"/>
  <c r="G46" i="1"/>
  <c r="M46" i="1" s="1"/>
  <c r="F46" i="1"/>
  <c r="G45" i="1"/>
  <c r="M45" i="1" s="1"/>
  <c r="F45" i="1"/>
  <c r="G43" i="1"/>
  <c r="M43" i="1" s="1"/>
  <c r="F43" i="1"/>
  <c r="G42" i="1"/>
  <c r="F42" i="1"/>
  <c r="M40" i="1"/>
  <c r="G40" i="1"/>
  <c r="F40" i="1"/>
  <c r="G39" i="1"/>
  <c r="M39" i="1" s="1"/>
  <c r="F39" i="1"/>
  <c r="M32" i="1"/>
  <c r="R15" i="1"/>
  <c r="Q25" i="1"/>
  <c r="R28" i="1"/>
  <c r="R27" i="1"/>
  <c r="R26" i="1"/>
  <c r="Q19" i="1"/>
  <c r="R23" i="1"/>
  <c r="R22" i="1"/>
  <c r="AA7" i="2"/>
  <c r="Z16" i="1" l="1"/>
  <c r="Z57" i="1"/>
  <c r="N59" i="1"/>
  <c r="M57" i="1"/>
  <c r="N56" i="1" s="1"/>
  <c r="M54" i="1"/>
  <c r="N53" i="1"/>
  <c r="Z42" i="1"/>
  <c r="Q30" i="1"/>
  <c r="M42" i="1"/>
  <c r="N62" i="1" l="1"/>
  <c r="Q15" i="1"/>
  <c r="Q32" i="1" s="1"/>
  <c r="K22" i="1"/>
  <c r="K23" i="1"/>
  <c r="K20" i="1"/>
  <c r="M17" i="1"/>
  <c r="AA9" i="2"/>
  <c r="K5" i="1" s="1"/>
  <c r="AA8" i="2"/>
  <c r="AC8" i="2" s="1"/>
  <c r="AA6" i="2"/>
  <c r="Z6" i="2"/>
  <c r="AB6" i="2" s="1"/>
  <c r="Z7" i="2"/>
  <c r="AA5" i="2"/>
  <c r="AC5" i="2" s="1"/>
  <c r="AA4" i="2"/>
  <c r="AC4" i="2" s="1"/>
  <c r="D11" i="2"/>
  <c r="P6" i="2" s="1"/>
  <c r="R25" i="2"/>
  <c r="M12" i="1"/>
  <c r="K9" i="1"/>
  <c r="K6" i="1"/>
  <c r="F5" i="1"/>
  <c r="F6" i="1"/>
  <c r="F8" i="1"/>
  <c r="F9" i="1"/>
  <c r="F11" i="1"/>
  <c r="F12" i="1"/>
  <c r="F16" i="1"/>
  <c r="F22" i="1"/>
  <c r="G22" i="1"/>
  <c r="F23" i="1"/>
  <c r="G23" i="1"/>
  <c r="G19" i="1"/>
  <c r="P7" i="2" l="1"/>
  <c r="P10" i="2"/>
  <c r="AC6" i="2"/>
  <c r="M11" i="1" s="1"/>
  <c r="N11" i="1" s="1"/>
  <c r="AC9" i="2"/>
  <c r="AC11" i="2"/>
  <c r="K16" i="1"/>
  <c r="K8" i="1"/>
  <c r="M23" i="1"/>
  <c r="M22" i="1"/>
  <c r="N22" i="1" l="1"/>
  <c r="K11" i="1"/>
  <c r="M19" i="1"/>
  <c r="G20" i="1"/>
  <c r="M20" i="1" s="1"/>
  <c r="F19" i="1"/>
  <c r="F20" i="1"/>
  <c r="G16" i="1"/>
  <c r="G17" i="1"/>
  <c r="M16" i="1"/>
  <c r="N16" i="1" s="1"/>
  <c r="F17" i="1"/>
  <c r="G6" i="1"/>
  <c r="G8" i="1"/>
  <c r="G9" i="1"/>
  <c r="G11" i="1"/>
  <c r="G12" i="1"/>
  <c r="G5" i="1"/>
  <c r="N19" i="1" l="1"/>
  <c r="M5" i="1"/>
  <c r="N5" i="1" s="1"/>
  <c r="M8" i="1" l="1"/>
  <c r="N8" i="1" l="1"/>
</calcChain>
</file>

<file path=xl/sharedStrings.xml><?xml version="1.0" encoding="utf-8"?>
<sst xmlns="http://schemas.openxmlformats.org/spreadsheetml/2006/main" count="1730" uniqueCount="261">
  <si>
    <t>Feb</t>
  </si>
  <si>
    <t>Mar</t>
  </si>
  <si>
    <t>SWIB</t>
  </si>
  <si>
    <t>Nicola</t>
  </si>
  <si>
    <t>Avr</t>
  </si>
  <si>
    <t>Mai</t>
  </si>
  <si>
    <t>June</t>
  </si>
  <si>
    <t>fx</t>
  </si>
  <si>
    <t>eur usd</t>
  </si>
  <si>
    <t>eur CAD</t>
  </si>
  <si>
    <t>Jour</t>
  </si>
  <si>
    <t>heures</t>
  </si>
  <si>
    <t>factu mens (local ccy)</t>
  </si>
  <si>
    <t>tjh (local ccy</t>
  </si>
  <si>
    <t>factu mens (eur)</t>
  </si>
  <si>
    <t>heures/mois</t>
  </si>
  <si>
    <t>Jan</t>
  </si>
  <si>
    <t>date reception</t>
  </si>
  <si>
    <t>amount recu (loca ccy)</t>
  </si>
  <si>
    <t>amount recu (eur)</t>
  </si>
  <si>
    <t>date Factu</t>
  </si>
  <si>
    <t>Mois</t>
  </si>
  <si>
    <t>facturation</t>
  </si>
  <si>
    <t>paiement</t>
  </si>
  <si>
    <t>client</t>
  </si>
  <si>
    <t>Date started (UTC)</t>
  </si>
  <si>
    <t>Description</t>
  </si>
  <si>
    <t>Orig currency</t>
  </si>
  <si>
    <t>Orig amount</t>
  </si>
  <si>
    <t>Payment currency</t>
  </si>
  <si>
    <t>Amount</t>
  </si>
  <si>
    <t>Exchange rate</t>
  </si>
  <si>
    <t>Fee</t>
  </si>
  <si>
    <t>Balance</t>
  </si>
  <si>
    <t>Account</t>
  </si>
  <si>
    <t>Dollar am√©ricain ¬∑ USD ‚Üí Main ¬∑ EUR</t>
  </si>
  <si>
    <t>EUR</t>
  </si>
  <si>
    <t>USD</t>
  </si>
  <si>
    <t>EUR Main</t>
  </si>
  <si>
    <t>Recharge par ALPHA FINANCIAL MARKETS CONSULTING</t>
  </si>
  <si>
    <t>Factu 2026 mai</t>
  </si>
  <si>
    <t>Louis CAD ¬∑ CAD ‚Üí Main ¬∑ EUR</t>
  </si>
  <si>
    <t>CAD</t>
  </si>
  <si>
    <t>CAD Louis CAD</t>
  </si>
  <si>
    <t>Recharge par JPSB CONSULTING INC,</t>
  </si>
  <si>
    <t>Factu 2026 avril</t>
  </si>
  <si>
    <t>Recharge par JPSB CONSULTING LIMITED</t>
  </si>
  <si>
    <t>Factu 2026 mars</t>
  </si>
  <si>
    <t>Factu 2026 fev</t>
  </si>
  <si>
    <t>Factu 2026 Jan</t>
  </si>
  <si>
    <t>Factu 2025</t>
  </si>
  <si>
    <t>Conversion 2025</t>
  </si>
  <si>
    <t>Factu 2026 USD</t>
  </si>
  <si>
    <t>Factu 2026 CAD</t>
  </si>
  <si>
    <t>Conversion CAD 2026</t>
  </si>
  <si>
    <t>Conversion USD 2026</t>
  </si>
  <si>
    <t>balance CAD</t>
  </si>
  <si>
    <t>EUR factu</t>
  </si>
  <si>
    <t>Original amount</t>
  </si>
  <si>
    <t>split amount</t>
  </si>
  <si>
    <t>avg fx</t>
  </si>
  <si>
    <t>tbd</t>
  </si>
  <si>
    <t>06/30/2026</t>
  </si>
  <si>
    <t>placement bourse direct</t>
  </si>
  <si>
    <t>Conversion 2025/2026 USD</t>
  </si>
  <si>
    <t>Main ¬∑ USD ‚Üí Main ¬∑ EUR</t>
  </si>
  <si>
    <t>USD Main</t>
  </si>
  <si>
    <t>orignal 79993,92 conversion (2026 part)</t>
  </si>
  <si>
    <t>orignal 79993,92 conversion (2025 remaining)</t>
  </si>
  <si>
    <t>virement Revolut=&gt; qonto</t>
  </si>
  <si>
    <t>reception qonto</t>
  </si>
  <si>
    <t>compte reel Revolut</t>
  </si>
  <si>
    <t>compte reel Qonto</t>
  </si>
  <si>
    <t>depense 2026 revolut</t>
  </si>
  <si>
    <t>depense 2026 qonto</t>
  </si>
  <si>
    <t>Charges 2026</t>
  </si>
  <si>
    <t>delta salaires</t>
  </si>
  <si>
    <t>Nicola Mai</t>
  </si>
  <si>
    <t>Nicola Juin</t>
  </si>
  <si>
    <t>SWIB juin</t>
  </si>
  <si>
    <t>total tréso</t>
  </si>
  <si>
    <t xml:space="preserve">total treso </t>
  </si>
  <si>
    <t>total treso pending</t>
  </si>
  <si>
    <t>CA</t>
  </si>
  <si>
    <t>cryptos</t>
  </si>
  <si>
    <t>delta explique par pertes crypto</t>
  </si>
  <si>
    <t>July</t>
  </si>
  <si>
    <t>August</t>
  </si>
  <si>
    <t>September</t>
  </si>
  <si>
    <t>Conversion 2026 USD</t>
  </si>
  <si>
    <t>Au Moulin Dore</t>
  </si>
  <si>
    <t>Openrouter, Inc</t>
  </si>
  <si>
    <t>Anthropic* Claude Sub</t>
  </si>
  <si>
    <t>Bistrothiars</t>
  </si>
  <si>
    <t>Uber   *trip</t>
  </si>
  <si>
    <t>Sunny Rolls</t>
  </si>
  <si>
    <t>Sn,nord* Products</t>
  </si>
  <si>
    <t>Conversion 2026 CAD</t>
  </si>
  <si>
    <t>Mando</t>
  </si>
  <si>
    <t>Paradis Marche</t>
  </si>
  <si>
    <t>Www,sushim* Sushi Myor</t>
  </si>
  <si>
    <t>Sc Kazaar</t>
  </si>
  <si>
    <t>Sumup  *dt M9hz6mn9</t>
  </si>
  <si>
    <t>Areas Bordeaux</t>
  </si>
  <si>
    <t>Frais Revolut Business</t>
  </si>
  <si>
    <t>Echappee Provenc</t>
  </si>
  <si>
    <t>Burger King</t>
  </si>
  <si>
    <t>Relay</t>
  </si>
  <si>
    <t>Paul</t>
  </si>
  <si>
    <t>√Ä BOURSE DIRECT CLIENTS</t>
  </si>
  <si>
    <t>virement treso bourse direct</t>
  </si>
  <si>
    <t>Le Murano</t>
  </si>
  <si>
    <t>Cursor, Ai Powered Ide</t>
  </si>
  <si>
    <t>Intermarche</t>
  </si>
  <si>
    <t>Esso31775roc3</t>
  </si>
  <si>
    <t>Free Telecom</t>
  </si>
  <si>
    <t>Indian Tandoori</t>
  </si>
  <si>
    <t>L Odace</t>
  </si>
  <si>
    <t>Areas Valencetg</t>
  </si>
  <si>
    <t>Voi Fr</t>
  </si>
  <si>
    <t>Claude,ai Subscription</t>
  </si>
  <si>
    <t>Trainline</t>
  </si>
  <si>
    <t>Iberia Lae Sa Operador</t>
  </si>
  <si>
    <t>√Ä Corbeilles Essone CFE</t>
  </si>
  <si>
    <t>Europcar,com</t>
  </si>
  <si>
    <t>Www Parkingdesiles</t>
  </si>
  <si>
    <t>Cote De Boeuf</t>
  </si>
  <si>
    <t>Chez Toto</t>
  </si>
  <si>
    <t>√Ä LGC</t>
  </si>
  <si>
    <t>Virement qonto</t>
  </si>
  <si>
    <t>√Ä Louis Garnier</t>
  </si>
  <si>
    <t>versement salaire 2025</t>
  </si>
  <si>
    <t>Conversion 2025 USD</t>
  </si>
  <si>
    <t>Stancer*miches Et Bagu</t>
  </si>
  <si>
    <t>Lime*paiement Dvlx</t>
  </si>
  <si>
    <t>Pad Mermoz</t>
  </si>
  <si>
    <t>Dfp196395108</t>
  </si>
  <si>
    <t>Sakura Sushi</t>
  </si>
  <si>
    <t>Uber   *eats</t>
  </si>
  <si>
    <t>Naan Tandori</t>
  </si>
  <si>
    <t>Carmen</t>
  </si>
  <si>
    <t>Gc Re Beazley Insurance</t>
  </si>
  <si>
    <t>Pizza Hut Aerop Lx</t>
  </si>
  <si>
    <t>Estalagem Muchaxo</t>
  </si>
  <si>
    <t>Praia No Parque</t>
  </si>
  <si>
    <t>Cppb - Cascais</t>
  </si>
  <si>
    <t>Lime*trajet Dvlx</t>
  </si>
  <si>
    <t>Collect - Food,radio,r</t>
  </si>
  <si>
    <t>Fd R,c,sanches Ii</t>
  </si>
  <si>
    <t>Lx Boutique Hotel</t>
  </si>
  <si>
    <t>Pret A Manger</t>
  </si>
  <si>
    <t>Easyjet000kcjtzv2</t>
  </si>
  <si>
    <t>Sanpimanutel</t>
  </si>
  <si>
    <t>Yen Grandes Hall</t>
  </si>
  <si>
    <t>Le Grill Des Halles</t>
  </si>
  <si>
    <t>Sc Sri Ganesh</t>
  </si>
  <si>
    <t>Tripletta Catala</t>
  </si>
  <si>
    <t>Subway</t>
  </si>
  <si>
    <t>La Carte Des Colocs</t>
  </si>
  <si>
    <t>Factu 2026 fev USD</t>
  </si>
  <si>
    <t>Factu 2026 fev CAD</t>
  </si>
  <si>
    <t>Sc Cecile</t>
  </si>
  <si>
    <t>Autoroutes Asf</t>
  </si>
  <si>
    <t>Total</t>
  </si>
  <si>
    <t>L 'absinthe</t>
  </si>
  <si>
    <t>Getaround* Reservation</t>
  </si>
  <si>
    <t>Sarl S M K B</t>
  </si>
  <si>
    <t>Le Trianon</t>
  </si>
  <si>
    <t>Hotelcom72073206031925</t>
  </si>
  <si>
    <t>Sarl Suzanne Et</t>
  </si>
  <si>
    <t>Ashourya</t>
  </si>
  <si>
    <t>Lime*2 Courses Dvlx</t>
  </si>
  <si>
    <t>500 Degres</t>
  </si>
  <si>
    <t>Zay Zay</t>
  </si>
  <si>
    <t>Openai</t>
  </si>
  <si>
    <t>P,skool,com</t>
  </si>
  <si>
    <t>Rds  Sdt</t>
  </si>
  <si>
    <t>Commande</t>
  </si>
  <si>
    <t>Factu 2026 Jan CAD</t>
  </si>
  <si>
    <t>Factu 2026 Jan USD</t>
  </si>
  <si>
    <t>La Marine Des Goudes</t>
  </si>
  <si>
    <t>Le Rostand</t>
  </si>
  <si>
    <t>Windsurf</t>
  </si>
  <si>
    <t>Bluu Car Rental</t>
  </si>
  <si>
    <t>ZAR</t>
  </si>
  <si>
    <t>Heinemann Duty Free</t>
  </si>
  <si>
    <t>Knp Lower Sabie Servic</t>
  </si>
  <si>
    <t>Tap0018157520</t>
  </si>
  <si>
    <t>Easypark Sarl</t>
  </si>
  <si>
    <t>Inst Nat Stat Etudes E</t>
  </si>
  <si>
    <t>Bp Airport</t>
  </si>
  <si>
    <t>Uberdirectsa_2</t>
  </si>
  <si>
    <t>Remboursement par Inst Nat Propriete Ind</t>
  </si>
  <si>
    <t>Dineplan Arum</t>
  </si>
  <si>
    <t>Nikkei</t>
  </si>
  <si>
    <t>Nv Bar And Grill</t>
  </si>
  <si>
    <t>Cape Town Internationa</t>
  </si>
  <si>
    <t>Tabac Paradis</t>
  </si>
  <si>
    <t>March√© Airport Z√ºrich</t>
  </si>
  <si>
    <t>CHF</t>
  </si>
  <si>
    <t>Inst Nat Propriete Ind</t>
  </si>
  <si>
    <t>Conversion 2025 CAD</t>
  </si>
  <si>
    <t>Factu 2025 CAD</t>
  </si>
  <si>
    <t>Auberge De L Ora</t>
  </si>
  <si>
    <t>Med Kebab</t>
  </si>
  <si>
    <t>Mu-tong</t>
  </si>
  <si>
    <t>Bkg*hotel At Booking,c</t>
  </si>
  <si>
    <t>Partners On Booking Bv</t>
  </si>
  <si>
    <t>Lecurie</t>
  </si>
  <si>
    <t>Rentalcars,com</t>
  </si>
  <si>
    <t>Sixt Rent Booking</t>
  </si>
  <si>
    <t>Area Nfc</t>
  </si>
  <si>
    <t>Factu 2025 USD</t>
  </si>
  <si>
    <t>Airlink 3d Airlink 3d</t>
  </si>
  <si>
    <t>Umami</t>
  </si>
  <si>
    <t>Mamp Mobilites</t>
  </si>
  <si>
    <t>La Ferme</t>
  </si>
  <si>
    <t>Chiken Pasta</t>
  </si>
  <si>
    <t>Remboursement par Amazon Eu Sarl</t>
  </si>
  <si>
    <t>Amilcar</t>
  </si>
  <si>
    <t>√Ä Sie chartreuse gresivaudan</t>
  </si>
  <si>
    <t>Brioche Doree</t>
  </si>
  <si>
    <t>Ubr* Pending,uber,com</t>
  </si>
  <si>
    <t>Areas Parislyon</t>
  </si>
  <si>
    <t>Areas Marseille</t>
  </si>
  <si>
    <t>Flysafair Xde7ke:49659</t>
  </si>
  <si>
    <t>Cantini Flandin</t>
  </si>
  <si>
    <t>Remboursement par Hotelcom72069685493387</t>
  </si>
  <si>
    <t>Amazon Eu Sarl</t>
  </si>
  <si>
    <t>La Villa</t>
  </si>
  <si>
    <t>Olivo</t>
  </si>
  <si>
    <t>Hotelcom72069685493387</t>
  </si>
  <si>
    <t>Date de la valeur (UTC)</t>
  </si>
  <si>
    <t>Montant total (TTC)</t>
  </si>
  <si>
    <t>D√©bit</t>
  </si>
  <si>
    <t>Cr√©dit</t>
  </si>
  <si>
    <t>Solde</t>
  </si>
  <si>
    <t>Devise</t>
  </si>
  <si>
    <t>Nom de la contrepartie</t>
  </si>
  <si>
    <t>IBAN de la contrepartie</t>
  </si>
  <si>
    <t>GOCARDLESS</t>
  </si>
  <si>
    <t>GIE AG2R REUNICA</t>
  </si>
  <si>
    <t>FREE MOBILE</t>
  </si>
  <si>
    <t>URSSAF RHONE ALPES</t>
  </si>
  <si>
    <t>reception revolut</t>
  </si>
  <si>
    <t>FR7628233000014550298993527</t>
  </si>
  <si>
    <t>DIRECTION GENERALE DES FINANCES PUBLIQUES</t>
  </si>
  <si>
    <t>Qonto</t>
  </si>
  <si>
    <t>2 days off</t>
  </si>
  <si>
    <t>5 days off</t>
  </si>
  <si>
    <t>exp</t>
  </si>
  <si>
    <t>valeur crypto 30/06</t>
  </si>
  <si>
    <t>valeur crypto 01/01</t>
  </si>
  <si>
    <t>perte 2026</t>
  </si>
  <si>
    <t>impots</t>
  </si>
  <si>
    <t>IS</t>
  </si>
  <si>
    <t>octobre</t>
  </si>
  <si>
    <t>novembre</t>
  </si>
  <si>
    <t>decembre</t>
  </si>
  <si>
    <t>8 days off</t>
  </si>
  <si>
    <t>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</si>
</sst>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FF0000"/>
      <name val="Aptos Narrow"/>
      <scheme val="minor"/>
    </font>
    <font>
      <i/>
      <sz val="12"/>
      <color rgb="FFFF0000"/>
      <name val="Aptos Narrow"/>
      <scheme val="minor"/>
    </font>
    <font>
      <b/>
      <sz val="12"/>
      <color theme="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9" fontId="0" fillId="0" borderId="0" xfId="0" applyNumberFormat="1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14" fontId="2" fillId="2" borderId="0" xfId="0" applyNumberFormat="1" applyFont="1" applyFill="1"/>
    <xf numFmtId="14" fontId="0" fillId="4" borderId="0" xfId="0" applyNumberFormat="1" applyFill="1"/>
    <xf numFmtId="0" fontId="0" fillId="4" borderId="0" xfId="0" applyFill="1"/>
    <xf numFmtId="14" fontId="0" fillId="3" borderId="0" xfId="0" applyNumberFormat="1" applyFill="1"/>
    <xf numFmtId="164" fontId="0" fillId="3" borderId="0" xfId="0" applyNumberFormat="1" applyFill="1"/>
    <xf numFmtId="0" fontId="2" fillId="3" borderId="0" xfId="0" applyFont="1" applyFill="1"/>
    <xf numFmtId="14" fontId="2" fillId="3" borderId="0" xfId="0" applyNumberFormat="1" applyFont="1" applyFill="1"/>
    <xf numFmtId="14" fontId="3" fillId="3" borderId="0" xfId="0" applyNumberFormat="1" applyFont="1" applyFill="1"/>
    <xf numFmtId="0" fontId="3" fillId="3" borderId="0" xfId="0" applyFont="1" applyFill="1"/>
    <xf numFmtId="0" fontId="4" fillId="3" borderId="0" xfId="0" applyFont="1" applyFill="1"/>
    <xf numFmtId="14" fontId="0" fillId="5" borderId="0" xfId="0" applyNumberFormat="1" applyFill="1"/>
    <xf numFmtId="0" fontId="0" fillId="5" borderId="0" xfId="0" applyFill="1"/>
    <xf numFmtId="0" fontId="0" fillId="6" borderId="0" xfId="0" applyFill="1"/>
    <xf numFmtId="14" fontId="0" fillId="6" borderId="0" xfId="0" applyNumberFormat="1" applyFill="1"/>
    <xf numFmtId="1" fontId="0" fillId="0" borderId="0" xfId="0" applyNumberFormat="1"/>
    <xf numFmtId="0" fontId="0" fillId="7" borderId="0" xfId="0" applyFill="1"/>
    <xf numFmtId="1" fontId="0" fillId="2" borderId="0" xfId="0" applyNumberFormat="1" applyFill="1"/>
    <xf numFmtId="0" fontId="5" fillId="9" borderId="0" xfId="0" applyFont="1" applyFill="1"/>
    <xf numFmtId="0" fontId="5" fillId="10" borderId="1" xfId="0" applyFont="1" applyFill="1" applyBorder="1"/>
    <xf numFmtId="0" fontId="2" fillId="4" borderId="0" xfId="0" applyFont="1" applyFill="1"/>
    <xf numFmtId="14" fontId="2" fillId="4" borderId="0" xfId="0" applyNumberFormat="1" applyFont="1" applyFill="1"/>
    <xf numFmtId="22" fontId="0" fillId="0" borderId="0" xfId="0" applyNumberFormat="1"/>
    <xf numFmtId="0" fontId="0" fillId="11" borderId="0" xfId="0" applyFill="1"/>
    <xf numFmtId="2" fontId="0" fillId="11" borderId="0" xfId="0" applyNumberFormat="1" applyFill="1"/>
    <xf numFmtId="0" fontId="0" fillId="6" borderId="2" xfId="0" applyFill="1" applyBorder="1"/>
    <xf numFmtId="1" fontId="0" fillId="6" borderId="3" xfId="0" applyNumberFormat="1" applyFill="1" applyBorder="1"/>
    <xf numFmtId="0" fontId="0" fillId="8" borderId="2" xfId="0" applyFill="1" applyBorder="1"/>
    <xf numFmtId="1" fontId="0" fillId="8" borderId="3" xfId="0" applyNumberFormat="1" applyFill="1" applyBorder="1"/>
    <xf numFmtId="0" fontId="5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B499-2655-0949-BF18-0EC8334325B1}">
  <sheetPr codeName="Sheet1"/>
  <dimension ref="A1:AG62"/>
  <sheetViews>
    <sheetView tabSelected="1" topLeftCell="I27" workbookViewId="0">
      <selection activeCell="U63" sqref="U63"/>
    </sheetView>
  </sheetViews>
  <sheetFormatPr baseColWidth="10" defaultRowHeight="16" x14ac:dyDescent="0.2"/>
  <cols>
    <col min="5" max="5" width="11.5" bestFit="1" customWidth="1"/>
    <col min="6" max="6" width="12.5" customWidth="1"/>
    <col min="7" max="7" width="19" bestFit="1" customWidth="1"/>
    <col min="8" max="8" width="14.5" customWidth="1"/>
    <col min="9" max="9" width="13" bestFit="1" customWidth="1"/>
    <col min="10" max="10" width="19.83203125" bestFit="1" customWidth="1"/>
    <col min="11" max="11" width="13.33203125" bestFit="1" customWidth="1"/>
    <col min="16" max="16" width="26.5" customWidth="1"/>
    <col min="17" max="17" width="13.6640625" bestFit="1" customWidth="1"/>
    <col min="23" max="23" width="15.1640625" bestFit="1" customWidth="1"/>
    <col min="26" max="26" width="11.6640625" bestFit="1" customWidth="1"/>
  </cols>
  <sheetData>
    <row r="1" spans="1:33" x14ac:dyDescent="0.2">
      <c r="I1" t="s">
        <v>7</v>
      </c>
      <c r="J1" t="s">
        <v>8</v>
      </c>
      <c r="K1">
        <v>1.1499999999999999</v>
      </c>
    </row>
    <row r="2" spans="1:33" x14ac:dyDescent="0.2">
      <c r="J2" t="s">
        <v>9</v>
      </c>
      <c r="K2">
        <v>0.62</v>
      </c>
    </row>
    <row r="3" spans="1:33" x14ac:dyDescent="0.2">
      <c r="A3" s="27" t="s">
        <v>21</v>
      </c>
      <c r="B3" s="27" t="s">
        <v>24</v>
      </c>
      <c r="C3" s="37" t="s">
        <v>22</v>
      </c>
      <c r="D3" s="37"/>
      <c r="E3" s="37"/>
      <c r="F3" s="37"/>
      <c r="G3" s="37"/>
      <c r="H3" s="37"/>
      <c r="I3" s="37" t="s">
        <v>23</v>
      </c>
      <c r="J3" s="37"/>
      <c r="K3" s="37"/>
      <c r="L3" s="37"/>
      <c r="M3" s="37"/>
      <c r="N3" s="37"/>
      <c r="P3" s="6" t="s">
        <v>62</v>
      </c>
    </row>
    <row r="4" spans="1:33" x14ac:dyDescent="0.2">
      <c r="A4" s="26" t="s">
        <v>21</v>
      </c>
      <c r="B4" s="26" t="s">
        <v>24</v>
      </c>
      <c r="C4" s="26" t="s">
        <v>10</v>
      </c>
      <c r="D4" s="26" t="s">
        <v>11</v>
      </c>
      <c r="E4" s="26" t="s">
        <v>13</v>
      </c>
      <c r="F4" s="26" t="s">
        <v>15</v>
      </c>
      <c r="G4" s="26" t="s">
        <v>12</v>
      </c>
      <c r="H4" s="26" t="s">
        <v>20</v>
      </c>
      <c r="I4" s="26" t="s">
        <v>17</v>
      </c>
      <c r="J4" s="26" t="s">
        <v>18</v>
      </c>
      <c r="K4" s="26" t="s">
        <v>7</v>
      </c>
      <c r="L4" s="26" t="s">
        <v>19</v>
      </c>
      <c r="M4" s="26" t="s">
        <v>14</v>
      </c>
    </row>
    <row r="5" spans="1:33" x14ac:dyDescent="0.2">
      <c r="A5" t="s">
        <v>16</v>
      </c>
      <c r="B5" t="s">
        <v>2</v>
      </c>
      <c r="C5">
        <v>19</v>
      </c>
      <c r="D5">
        <v>8</v>
      </c>
      <c r="E5">
        <v>120</v>
      </c>
      <c r="F5">
        <f t="shared" ref="F5:F12" si="0">D5*C5</f>
        <v>152</v>
      </c>
      <c r="G5">
        <f>C5*D5*E5</f>
        <v>18240</v>
      </c>
      <c r="H5" s="4">
        <v>46053</v>
      </c>
      <c r="I5" s="19">
        <v>46100</v>
      </c>
      <c r="J5" s="20">
        <v>18240</v>
      </c>
      <c r="K5" s="20">
        <f>Factu!AA9</f>
        <v>1.1616580000000001</v>
      </c>
      <c r="L5" s="20"/>
      <c r="M5" s="20">
        <f>C5*D5*E5/K5</f>
        <v>15701.695335460177</v>
      </c>
      <c r="N5">
        <f>M5+M6</f>
        <v>34225.275335460181</v>
      </c>
      <c r="P5" t="s">
        <v>71</v>
      </c>
      <c r="Q5">
        <v>49171</v>
      </c>
    </row>
    <row r="6" spans="1:33" x14ac:dyDescent="0.2">
      <c r="B6" t="s">
        <v>3</v>
      </c>
      <c r="C6">
        <v>20.5</v>
      </c>
      <c r="D6">
        <v>8</v>
      </c>
      <c r="E6">
        <v>180</v>
      </c>
      <c r="F6">
        <f t="shared" si="0"/>
        <v>164</v>
      </c>
      <c r="G6">
        <f>C6*D6*E6</f>
        <v>29520</v>
      </c>
      <c r="H6" s="4">
        <v>46053</v>
      </c>
      <c r="I6" s="12">
        <v>46101</v>
      </c>
      <c r="J6" s="7">
        <v>29520</v>
      </c>
      <c r="K6" s="13">
        <f>M6/J6</f>
        <v>0.62749254742547433</v>
      </c>
      <c r="L6" s="7"/>
      <c r="M6" s="7">
        <v>18523.580000000002</v>
      </c>
      <c r="P6" t="s">
        <v>72</v>
      </c>
      <c r="Q6">
        <v>555</v>
      </c>
      <c r="AD6" s="2"/>
      <c r="AE6" s="2"/>
      <c r="AF6" s="2"/>
      <c r="AG6" s="2"/>
    </row>
    <row r="7" spans="1:33" x14ac:dyDescent="0.2">
      <c r="AD7" s="2"/>
      <c r="AE7" s="2"/>
      <c r="AF7" s="2"/>
      <c r="AG7" s="2"/>
    </row>
    <row r="8" spans="1:33" x14ac:dyDescent="0.2">
      <c r="A8" t="s">
        <v>0</v>
      </c>
      <c r="B8" t="s">
        <v>2</v>
      </c>
      <c r="C8">
        <v>18</v>
      </c>
      <c r="D8">
        <v>8</v>
      </c>
      <c r="E8">
        <v>120</v>
      </c>
      <c r="F8">
        <f t="shared" si="0"/>
        <v>144</v>
      </c>
      <c r="G8">
        <f>C8*D8*E8</f>
        <v>17280</v>
      </c>
      <c r="H8" s="4">
        <v>46081</v>
      </c>
      <c r="I8" s="19">
        <v>46132</v>
      </c>
      <c r="J8" s="20">
        <v>17280</v>
      </c>
      <c r="K8" s="20">
        <f>Factu!AA8</f>
        <v>1.1616580000000001</v>
      </c>
      <c r="L8" s="20"/>
      <c r="M8" s="20">
        <f>C8*D8*E8/K8</f>
        <v>14875.290317804378</v>
      </c>
      <c r="N8">
        <f>M8+M9</f>
        <v>30094.710317804376</v>
      </c>
      <c r="P8" s="31" t="s">
        <v>84</v>
      </c>
      <c r="Q8" s="32">
        <f>R9</f>
        <v>2564.1025641025644</v>
      </c>
      <c r="T8" s="23"/>
      <c r="Z8" s="3"/>
      <c r="AD8" s="2"/>
      <c r="AE8" s="2"/>
      <c r="AF8" s="2"/>
      <c r="AG8" s="2"/>
    </row>
    <row r="9" spans="1:33" x14ac:dyDescent="0.2">
      <c r="B9" t="s">
        <v>3</v>
      </c>
      <c r="C9">
        <v>17</v>
      </c>
      <c r="D9">
        <v>8</v>
      </c>
      <c r="E9">
        <v>180</v>
      </c>
      <c r="F9">
        <f t="shared" si="0"/>
        <v>136</v>
      </c>
      <c r="G9">
        <f>C9*D9*E9</f>
        <v>24480</v>
      </c>
      <c r="H9" s="4">
        <v>46081</v>
      </c>
      <c r="I9" s="12">
        <v>46132</v>
      </c>
      <c r="J9" s="7">
        <v>24480</v>
      </c>
      <c r="K9" s="13">
        <f>M9/J9</f>
        <v>0.62170833333333331</v>
      </c>
      <c r="L9" s="7"/>
      <c r="M9" s="7">
        <v>15219.42</v>
      </c>
      <c r="P9" t="s">
        <v>251</v>
      </c>
      <c r="R9" s="3">
        <f>S9/1.17</f>
        <v>2564.1025641025644</v>
      </c>
      <c r="S9">
        <v>3000</v>
      </c>
    </row>
    <row r="10" spans="1:33" x14ac:dyDescent="0.2">
      <c r="P10" t="s">
        <v>252</v>
      </c>
      <c r="R10" s="3">
        <f>S10/1.17</f>
        <v>4717.9487179487178</v>
      </c>
      <c r="S10">
        <f>1.84*S9</f>
        <v>5520</v>
      </c>
      <c r="Z10" s="3"/>
    </row>
    <row r="11" spans="1:33" x14ac:dyDescent="0.2">
      <c r="A11" t="s">
        <v>1</v>
      </c>
      <c r="B11" t="s">
        <v>2</v>
      </c>
      <c r="C11">
        <v>17</v>
      </c>
      <c r="D11">
        <v>8</v>
      </c>
      <c r="E11">
        <v>120</v>
      </c>
      <c r="F11">
        <f t="shared" si="0"/>
        <v>136</v>
      </c>
      <c r="G11">
        <f>C11*D11*E11</f>
        <v>16320</v>
      </c>
      <c r="H11" s="4">
        <v>46112</v>
      </c>
      <c r="I11" s="19">
        <v>46161</v>
      </c>
      <c r="J11" s="20">
        <v>16320</v>
      </c>
      <c r="K11" s="20">
        <f>J11/M11</f>
        <v>1.1399312872558975</v>
      </c>
      <c r="L11" s="20"/>
      <c r="M11" s="20">
        <f>Factu!AC6</f>
        <v>14316.65240041473</v>
      </c>
      <c r="N11">
        <f>M11+M12</f>
        <v>29539.320870209573</v>
      </c>
      <c r="P11" t="s">
        <v>253</v>
      </c>
      <c r="R11" s="3">
        <f>R10-R9</f>
        <v>2153.8461538461534</v>
      </c>
      <c r="W11" t="s">
        <v>83</v>
      </c>
      <c r="X11" s="23">
        <f>Q30</f>
        <v>175532.53734671127</v>
      </c>
    </row>
    <row r="12" spans="1:33" ht="17" thickBot="1" x14ac:dyDescent="0.25">
      <c r="B12" t="s">
        <v>3</v>
      </c>
      <c r="C12">
        <v>17</v>
      </c>
      <c r="D12">
        <v>8</v>
      </c>
      <c r="E12">
        <v>180</v>
      </c>
      <c r="F12">
        <f t="shared" si="0"/>
        <v>136</v>
      </c>
      <c r="G12">
        <f>C12*D12*E12</f>
        <v>24480</v>
      </c>
      <c r="H12" s="4">
        <v>46112</v>
      </c>
      <c r="I12" s="12">
        <v>46167</v>
      </c>
      <c r="J12" s="7"/>
      <c r="K12" s="7"/>
      <c r="L12" s="7">
        <v>15007.98</v>
      </c>
      <c r="M12" s="7">
        <f>J13*K13+L12</f>
        <v>15222.668469794844</v>
      </c>
    </row>
    <row r="13" spans="1:33" ht="17" thickBot="1" x14ac:dyDescent="0.25">
      <c r="I13" s="12">
        <v>46182</v>
      </c>
      <c r="J13" s="7">
        <v>346.68</v>
      </c>
      <c r="K13" s="13">
        <v>0.61926984479878999</v>
      </c>
      <c r="L13" s="7"/>
      <c r="M13" s="7"/>
      <c r="P13" s="33" t="s">
        <v>80</v>
      </c>
      <c r="Q13" s="34">
        <f>Q5+Q6+Q8</f>
        <v>52290.102564102563</v>
      </c>
      <c r="V13" t="s">
        <v>254</v>
      </c>
      <c r="W13" t="s">
        <v>255</v>
      </c>
      <c r="X13">
        <v>42500</v>
      </c>
      <c r="Y13" s="1">
        <v>0.15</v>
      </c>
      <c r="Z13">
        <f>X13*Y13</f>
        <v>6375</v>
      </c>
    </row>
    <row r="14" spans="1:33" x14ac:dyDescent="0.2">
      <c r="X14" s="23">
        <f>X11-X13</f>
        <v>133032.53734671127</v>
      </c>
      <c r="Y14" s="1">
        <v>0.25</v>
      </c>
      <c r="Z14" s="23">
        <f>X14*Y14</f>
        <v>33258.134336677816</v>
      </c>
      <c r="AA14" s="1"/>
    </row>
    <row r="15" spans="1:33" x14ac:dyDescent="0.2">
      <c r="P15" t="s">
        <v>63</v>
      </c>
      <c r="Q15">
        <f>70000</f>
        <v>70000</v>
      </c>
      <c r="R15">
        <f>Q15*1.11</f>
        <v>77700</v>
      </c>
    </row>
    <row r="16" spans="1:33" ht="17" thickBot="1" x14ac:dyDescent="0.25">
      <c r="A16" t="s">
        <v>4</v>
      </c>
      <c r="B16" t="s">
        <v>2</v>
      </c>
      <c r="C16">
        <v>21</v>
      </c>
      <c r="D16">
        <v>8</v>
      </c>
      <c r="E16">
        <v>120</v>
      </c>
      <c r="F16">
        <f>D16*C16</f>
        <v>168</v>
      </c>
      <c r="G16">
        <f>C16*D16*E16</f>
        <v>20160</v>
      </c>
      <c r="H16" s="4">
        <v>46142</v>
      </c>
      <c r="I16" s="19">
        <v>46190</v>
      </c>
      <c r="J16" s="20">
        <v>20160</v>
      </c>
      <c r="K16" s="20">
        <f>Factu!AA5</f>
        <v>1.137005</v>
      </c>
      <c r="L16" s="20"/>
      <c r="M16" s="20">
        <f>C16*D16*E16/K16</f>
        <v>17730.792740577217</v>
      </c>
      <c r="N16" s="3">
        <f>M16+M17</f>
        <v>35565.764270782369</v>
      </c>
      <c r="S16" s="3"/>
      <c r="T16" s="3"/>
      <c r="U16" s="3"/>
      <c r="Z16" s="3">
        <f>SUM(Z13+Z14)</f>
        <v>39633.134336677816</v>
      </c>
      <c r="AA16" s="1"/>
    </row>
    <row r="17" spans="1:22" ht="17" thickBot="1" x14ac:dyDescent="0.25">
      <c r="B17" t="s">
        <v>3</v>
      </c>
      <c r="C17">
        <v>20</v>
      </c>
      <c r="D17">
        <v>8</v>
      </c>
      <c r="E17">
        <v>180</v>
      </c>
      <c r="F17">
        <f>D17*C17</f>
        <v>160</v>
      </c>
      <c r="G17">
        <f>C17*D17*E17</f>
        <v>28800</v>
      </c>
      <c r="H17" s="4">
        <v>46142</v>
      </c>
      <c r="I17" s="12">
        <v>46185</v>
      </c>
      <c r="J17" s="7">
        <v>28800</v>
      </c>
      <c r="K17" s="13">
        <v>0.61926984479878999</v>
      </c>
      <c r="L17" s="7"/>
      <c r="M17" s="7">
        <f>K17*J17</f>
        <v>17834.971530205152</v>
      </c>
      <c r="P17" s="33" t="s">
        <v>81</v>
      </c>
      <c r="Q17" s="34">
        <f>Q13+Q15</f>
        <v>122290.10256410256</v>
      </c>
    </row>
    <row r="19" spans="1:22" x14ac:dyDescent="0.2">
      <c r="A19" t="s">
        <v>5</v>
      </c>
      <c r="B19" t="s">
        <v>2</v>
      </c>
      <c r="C19">
        <v>19</v>
      </c>
      <c r="D19">
        <v>8</v>
      </c>
      <c r="E19">
        <v>120</v>
      </c>
      <c r="F19">
        <f t="shared" ref="F19:F20" si="1">D19*C19</f>
        <v>152</v>
      </c>
      <c r="G19">
        <f>C19*D19*E19</f>
        <v>18240</v>
      </c>
      <c r="H19" s="4">
        <v>46173</v>
      </c>
      <c r="I19" s="19">
        <v>46203</v>
      </c>
      <c r="J19" s="20">
        <v>18240</v>
      </c>
      <c r="K19" s="20">
        <v>1.1396930000000001</v>
      </c>
      <c r="L19" s="20"/>
      <c r="M19" s="20">
        <f>C19*D19*E19/K19</f>
        <v>16004.309932587108</v>
      </c>
      <c r="N19" s="3">
        <f>M19+M20</f>
        <v>32967.509932587112</v>
      </c>
      <c r="P19" s="11" t="s">
        <v>75</v>
      </c>
      <c r="Q19" s="11">
        <f>SUM(R20:R23)</f>
        <v>-21671</v>
      </c>
      <c r="S19" s="3"/>
      <c r="T19" s="3"/>
      <c r="U19" s="3"/>
      <c r="V19" s="3"/>
    </row>
    <row r="20" spans="1:22" x14ac:dyDescent="0.2">
      <c r="B20" t="s">
        <v>3</v>
      </c>
      <c r="C20">
        <v>19</v>
      </c>
      <c r="D20">
        <v>8</v>
      </c>
      <c r="E20">
        <v>180</v>
      </c>
      <c r="F20">
        <f t="shared" si="1"/>
        <v>152</v>
      </c>
      <c r="G20">
        <f t="shared" ref="G20" si="2">C20*D20*E20</f>
        <v>27360</v>
      </c>
      <c r="H20" s="4">
        <v>46173</v>
      </c>
      <c r="I20" s="22">
        <v>46218</v>
      </c>
      <c r="J20" s="21"/>
      <c r="K20" s="21">
        <f>K2</f>
        <v>0.62</v>
      </c>
      <c r="L20" s="21"/>
      <c r="M20" s="21">
        <f>G20*K20</f>
        <v>16963.2</v>
      </c>
      <c r="P20" t="s">
        <v>73</v>
      </c>
      <c r="R20">
        <v>-16200</v>
      </c>
    </row>
    <row r="21" spans="1:22" x14ac:dyDescent="0.2">
      <c r="P21" t="s">
        <v>69</v>
      </c>
      <c r="R21">
        <v>-6000</v>
      </c>
    </row>
    <row r="22" spans="1:22" x14ac:dyDescent="0.2">
      <c r="A22" t="s">
        <v>6</v>
      </c>
      <c r="B22" t="s">
        <v>2</v>
      </c>
      <c r="C22">
        <v>21</v>
      </c>
      <c r="D22">
        <v>8</v>
      </c>
      <c r="E22">
        <v>120</v>
      </c>
      <c r="F22">
        <f t="shared" ref="F22:F23" si="3">D22*C22</f>
        <v>168</v>
      </c>
      <c r="G22">
        <f t="shared" ref="G22:G23" si="4">C22*D22*E22</f>
        <v>20160</v>
      </c>
      <c r="H22" s="4">
        <v>46203</v>
      </c>
      <c r="I22" s="22">
        <v>46218</v>
      </c>
      <c r="J22" s="21"/>
      <c r="K22" s="21">
        <f>K1</f>
        <v>1.1499999999999999</v>
      </c>
      <c r="L22" s="21"/>
      <c r="M22" s="21">
        <f>G22/K22</f>
        <v>17530.434782608696</v>
      </c>
      <c r="N22" s="3">
        <f>M22+M23</f>
        <v>36279.234782608692</v>
      </c>
      <c r="P22" t="s">
        <v>70</v>
      </c>
      <c r="R22">
        <f>6000</f>
        <v>6000</v>
      </c>
      <c r="S22" s="3"/>
      <c r="T22" s="3"/>
      <c r="U22" s="3"/>
      <c r="V22" s="3"/>
    </row>
    <row r="23" spans="1:22" x14ac:dyDescent="0.2">
      <c r="B23" t="s">
        <v>3</v>
      </c>
      <c r="C23">
        <v>21</v>
      </c>
      <c r="D23">
        <v>8</v>
      </c>
      <c r="E23">
        <v>180</v>
      </c>
      <c r="F23">
        <f t="shared" si="3"/>
        <v>168</v>
      </c>
      <c r="G23">
        <f t="shared" si="4"/>
        <v>30240</v>
      </c>
      <c r="H23" s="4">
        <v>46203</v>
      </c>
      <c r="I23" s="22">
        <v>46218</v>
      </c>
      <c r="J23" s="21"/>
      <c r="K23" s="21">
        <f>K2</f>
        <v>0.62</v>
      </c>
      <c r="L23" s="21"/>
      <c r="M23" s="21">
        <f>K23*G23</f>
        <v>18748.8</v>
      </c>
      <c r="P23" t="s">
        <v>74</v>
      </c>
      <c r="R23">
        <f>-5471</f>
        <v>-5471</v>
      </c>
    </row>
    <row r="24" spans="1:22" x14ac:dyDescent="0.2">
      <c r="R24" s="3"/>
    </row>
    <row r="25" spans="1:22" x14ac:dyDescent="0.2">
      <c r="P25" s="24" t="s">
        <v>76</v>
      </c>
      <c r="Q25" s="24">
        <f>SUM(R26:R28)</f>
        <v>53242.434782608696</v>
      </c>
    </row>
    <row r="26" spans="1:22" x14ac:dyDescent="0.2">
      <c r="P26" t="s">
        <v>77</v>
      </c>
      <c r="R26">
        <f>M20</f>
        <v>16963.2</v>
      </c>
    </row>
    <row r="27" spans="1:22" x14ac:dyDescent="0.2">
      <c r="P27" t="s">
        <v>78</v>
      </c>
      <c r="R27" s="3">
        <f>M23</f>
        <v>18748.8</v>
      </c>
    </row>
    <row r="28" spans="1:22" x14ac:dyDescent="0.2">
      <c r="P28" t="s">
        <v>79</v>
      </c>
      <c r="R28">
        <f>M22</f>
        <v>17530.434782608696</v>
      </c>
    </row>
    <row r="29" spans="1:22" ht="17" thickBot="1" x14ac:dyDescent="0.25"/>
    <row r="30" spans="1:22" ht="17" thickBot="1" x14ac:dyDescent="0.25">
      <c r="P30" s="35" t="s">
        <v>82</v>
      </c>
      <c r="Q30" s="36">
        <f>Q17+Q25</f>
        <v>175532.53734671127</v>
      </c>
    </row>
    <row r="32" spans="1:22" x14ac:dyDescent="0.2">
      <c r="K32" s="6" t="s">
        <v>62</v>
      </c>
      <c r="L32" s="6"/>
      <c r="M32" s="6">
        <f>SUM(M5:M23)</f>
        <v>198671.81550945231</v>
      </c>
      <c r="N32" s="6"/>
      <c r="O32" s="6"/>
      <c r="P32" s="6" t="s">
        <v>83</v>
      </c>
      <c r="Q32" s="25">
        <f>Q30-Q19</f>
        <v>197203.53734671127</v>
      </c>
    </row>
    <row r="33" spans="1:26" x14ac:dyDescent="0.2">
      <c r="M33" t="s">
        <v>85</v>
      </c>
    </row>
    <row r="37" spans="1:26" x14ac:dyDescent="0.2">
      <c r="W37" t="s">
        <v>83</v>
      </c>
      <c r="X37" s="23">
        <f>Q48</f>
        <v>264157.52517279825</v>
      </c>
    </row>
    <row r="39" spans="1:26" x14ac:dyDescent="0.2">
      <c r="A39" t="s">
        <v>86</v>
      </c>
      <c r="B39" t="s">
        <v>2</v>
      </c>
      <c r="C39">
        <v>21</v>
      </c>
      <c r="D39">
        <v>8</v>
      </c>
      <c r="E39">
        <v>120</v>
      </c>
      <c r="F39">
        <f t="shared" ref="F39:F40" si="5">D39*C39</f>
        <v>168</v>
      </c>
      <c r="G39">
        <f t="shared" ref="G39:G40" si="6">C39*D39*E39</f>
        <v>20160</v>
      </c>
      <c r="H39" s="4">
        <v>46203</v>
      </c>
      <c r="I39" s="21" t="s">
        <v>61</v>
      </c>
      <c r="J39" s="21"/>
      <c r="K39" s="21">
        <f>K1</f>
        <v>1.1499999999999999</v>
      </c>
      <c r="L39" s="21"/>
      <c r="M39" s="21">
        <f>G39/K39</f>
        <v>17530.434782608696</v>
      </c>
      <c r="N39">
        <f>M39+M40</f>
        <v>36279.234782608692</v>
      </c>
      <c r="P39" t="s">
        <v>260</v>
      </c>
      <c r="Q39">
        <f>10%*N48</f>
        <v>9847.2208695652171</v>
      </c>
      <c r="V39" t="s">
        <v>254</v>
      </c>
      <c r="W39" t="s">
        <v>255</v>
      </c>
      <c r="X39">
        <v>42500</v>
      </c>
      <c r="Y39" s="1">
        <v>0.15</v>
      </c>
      <c r="Z39">
        <f>X39*Y39</f>
        <v>6375</v>
      </c>
    </row>
    <row r="40" spans="1:26" x14ac:dyDescent="0.2">
      <c r="A40" t="s">
        <v>248</v>
      </c>
      <c r="B40" t="s">
        <v>3</v>
      </c>
      <c r="C40">
        <v>21</v>
      </c>
      <c r="D40">
        <v>8</v>
      </c>
      <c r="E40">
        <v>180</v>
      </c>
      <c r="F40">
        <f t="shared" si="5"/>
        <v>168</v>
      </c>
      <c r="G40">
        <f t="shared" si="6"/>
        <v>30240</v>
      </c>
      <c r="H40" s="4">
        <v>46203</v>
      </c>
      <c r="I40" s="21" t="s">
        <v>61</v>
      </c>
      <c r="J40" s="21"/>
      <c r="K40" s="21">
        <f>K2</f>
        <v>0.62</v>
      </c>
      <c r="L40" s="21"/>
      <c r="M40" s="21">
        <f>K40*G40</f>
        <v>18748.8</v>
      </c>
      <c r="X40" s="23">
        <f>X37-X39</f>
        <v>221657.52517279825</v>
      </c>
      <c r="Y40" s="1">
        <v>0.25</v>
      </c>
      <c r="Z40" s="23">
        <f>X40*Y40</f>
        <v>55414.381293199564</v>
      </c>
    </row>
    <row r="42" spans="1:26" x14ac:dyDescent="0.2">
      <c r="A42" t="s">
        <v>87</v>
      </c>
      <c r="B42" t="s">
        <v>2</v>
      </c>
      <c r="C42">
        <v>16</v>
      </c>
      <c r="D42">
        <v>8</v>
      </c>
      <c r="E42">
        <v>120</v>
      </c>
      <c r="F42">
        <f t="shared" ref="F42:F43" si="7">D42*C42</f>
        <v>128</v>
      </c>
      <c r="G42">
        <f t="shared" ref="G42:G43" si="8">C42*D42*E42</f>
        <v>15360</v>
      </c>
      <c r="H42" s="4">
        <v>46203</v>
      </c>
      <c r="I42" s="21" t="s">
        <v>61</v>
      </c>
      <c r="J42" s="21"/>
      <c r="K42" s="21">
        <f>K1</f>
        <v>1.1499999999999999</v>
      </c>
      <c r="L42" s="21"/>
      <c r="M42" s="21">
        <f>G42/K42</f>
        <v>13356.521739130436</v>
      </c>
      <c r="N42">
        <f>M42+M43</f>
        <v>27641.321739130435</v>
      </c>
      <c r="Z42" s="3">
        <f>SUM(Z39+Z40)</f>
        <v>61789.381293199564</v>
      </c>
    </row>
    <row r="43" spans="1:26" x14ac:dyDescent="0.2">
      <c r="A43" t="s">
        <v>249</v>
      </c>
      <c r="B43" t="s">
        <v>3</v>
      </c>
      <c r="C43">
        <v>16</v>
      </c>
      <c r="D43">
        <v>8</v>
      </c>
      <c r="E43">
        <v>180</v>
      </c>
      <c r="F43">
        <f t="shared" si="7"/>
        <v>128</v>
      </c>
      <c r="G43">
        <f t="shared" si="8"/>
        <v>23040</v>
      </c>
      <c r="H43" s="4">
        <v>46203</v>
      </c>
      <c r="I43" s="21" t="s">
        <v>61</v>
      </c>
      <c r="J43" s="21"/>
      <c r="K43" s="21">
        <f>K2</f>
        <v>0.62</v>
      </c>
      <c r="L43" s="21"/>
      <c r="M43" s="21">
        <f>K43*G43</f>
        <v>14284.8</v>
      </c>
    </row>
    <row r="45" spans="1:26" x14ac:dyDescent="0.2">
      <c r="A45" t="s">
        <v>88</v>
      </c>
      <c r="B45" t="s">
        <v>2</v>
      </c>
      <c r="C45">
        <v>20</v>
      </c>
      <c r="D45">
        <v>8</v>
      </c>
      <c r="E45">
        <v>120</v>
      </c>
      <c r="F45">
        <f t="shared" ref="F45:F46" si="9">D45*C45</f>
        <v>160</v>
      </c>
      <c r="G45">
        <f t="shared" ref="G45:G46" si="10">C45*D45*E45</f>
        <v>19200</v>
      </c>
      <c r="H45" s="4">
        <v>46203</v>
      </c>
      <c r="I45" s="21" t="s">
        <v>61</v>
      </c>
      <c r="J45" s="21"/>
      <c r="K45" s="21">
        <f>K1</f>
        <v>1.1499999999999999</v>
      </c>
      <c r="L45" s="21"/>
      <c r="M45" s="21">
        <f>G45/K45</f>
        <v>16695.652173913044</v>
      </c>
      <c r="N45">
        <f>M45+M46</f>
        <v>34551.65217391304</v>
      </c>
    </row>
    <row r="46" spans="1:26" x14ac:dyDescent="0.2">
      <c r="A46" t="s">
        <v>248</v>
      </c>
      <c r="B46" t="s">
        <v>3</v>
      </c>
      <c r="C46">
        <v>20</v>
      </c>
      <c r="D46">
        <v>8</v>
      </c>
      <c r="E46">
        <v>180</v>
      </c>
      <c r="F46">
        <f t="shared" si="9"/>
        <v>160</v>
      </c>
      <c r="G46">
        <f t="shared" si="10"/>
        <v>28800</v>
      </c>
      <c r="H46" s="4">
        <v>46203</v>
      </c>
      <c r="I46" s="21" t="s">
        <v>61</v>
      </c>
      <c r="J46" s="21"/>
      <c r="K46" s="21">
        <f>K2</f>
        <v>0.62</v>
      </c>
      <c r="L46" s="21"/>
      <c r="M46" s="21">
        <f>K46*G46</f>
        <v>17856</v>
      </c>
    </row>
    <row r="48" spans="1:26" x14ac:dyDescent="0.2">
      <c r="N48">
        <f>SUM(N39:N46)</f>
        <v>98472.208695652167</v>
      </c>
      <c r="Q48" s="23">
        <f>Q30+N48-Q39</f>
        <v>264157.52517279825</v>
      </c>
    </row>
    <row r="52" spans="1:26" x14ac:dyDescent="0.2">
      <c r="W52" t="s">
        <v>83</v>
      </c>
      <c r="X52" s="23">
        <f>Q62</f>
        <v>343453.5669119287</v>
      </c>
    </row>
    <row r="53" spans="1:26" x14ac:dyDescent="0.2">
      <c r="A53" t="s">
        <v>256</v>
      </c>
      <c r="B53" t="s">
        <v>2</v>
      </c>
      <c r="C53">
        <v>14</v>
      </c>
      <c r="D53">
        <v>8</v>
      </c>
      <c r="E53">
        <v>120</v>
      </c>
      <c r="F53">
        <f t="shared" ref="F53:F54" si="11">D53*C53</f>
        <v>112</v>
      </c>
      <c r="G53">
        <f t="shared" ref="G53:G54" si="12">C53*D53*E53</f>
        <v>13440</v>
      </c>
      <c r="H53" s="4">
        <v>46203</v>
      </c>
      <c r="I53" s="21" t="s">
        <v>61</v>
      </c>
      <c r="J53" s="21"/>
      <c r="K53" s="21">
        <f>K1</f>
        <v>1.1499999999999999</v>
      </c>
      <c r="L53" s="21"/>
      <c r="M53" s="21">
        <f>G53/K53</f>
        <v>11686.956521739132</v>
      </c>
      <c r="N53">
        <f>M53+M54</f>
        <v>24186.156521739133</v>
      </c>
      <c r="P53" t="s">
        <v>260</v>
      </c>
      <c r="Q53">
        <f>10%*N62</f>
        <v>8810.6713043478267</v>
      </c>
    </row>
    <row r="54" spans="1:26" x14ac:dyDescent="0.2">
      <c r="A54" t="s">
        <v>259</v>
      </c>
      <c r="B54" t="s">
        <v>3</v>
      </c>
      <c r="C54">
        <v>14</v>
      </c>
      <c r="D54">
        <v>8</v>
      </c>
      <c r="E54">
        <v>180</v>
      </c>
      <c r="F54">
        <f t="shared" si="11"/>
        <v>112</v>
      </c>
      <c r="G54">
        <f t="shared" si="12"/>
        <v>20160</v>
      </c>
      <c r="H54" s="4">
        <v>46203</v>
      </c>
      <c r="I54" s="21" t="s">
        <v>61</v>
      </c>
      <c r="J54" s="21"/>
      <c r="K54" s="21">
        <f>K2</f>
        <v>0.62</v>
      </c>
      <c r="L54" s="21"/>
      <c r="M54" s="21">
        <f>K54*G54</f>
        <v>12499.2</v>
      </c>
      <c r="V54" t="s">
        <v>254</v>
      </c>
      <c r="W54" t="s">
        <v>255</v>
      </c>
      <c r="X54">
        <v>42500</v>
      </c>
      <c r="Y54" s="1">
        <v>0.15</v>
      </c>
      <c r="Z54">
        <f>X54*Y54</f>
        <v>6375</v>
      </c>
    </row>
    <row r="55" spans="1:26" x14ac:dyDescent="0.2">
      <c r="X55" s="23">
        <f>X52-X54</f>
        <v>300953.5669119287</v>
      </c>
      <c r="Y55" s="1">
        <v>0.25</v>
      </c>
      <c r="Z55" s="23">
        <f>X55*Y55</f>
        <v>75238.391727982176</v>
      </c>
    </row>
    <row r="56" spans="1:26" x14ac:dyDescent="0.2">
      <c r="A56" t="s">
        <v>257</v>
      </c>
      <c r="B56" t="s">
        <v>2</v>
      </c>
      <c r="C56">
        <v>19</v>
      </c>
      <c r="D56">
        <v>8</v>
      </c>
      <c r="E56">
        <v>120</v>
      </c>
      <c r="F56">
        <f t="shared" ref="F56:F57" si="13">D56*C56</f>
        <v>152</v>
      </c>
      <c r="G56">
        <f t="shared" ref="G56:G57" si="14">C56*D56*E56</f>
        <v>18240</v>
      </c>
      <c r="H56" s="4">
        <v>46203</v>
      </c>
      <c r="I56" s="21" t="s">
        <v>61</v>
      </c>
      <c r="J56" s="21"/>
      <c r="K56" s="21">
        <f>K53</f>
        <v>1.1499999999999999</v>
      </c>
      <c r="L56" s="21"/>
      <c r="M56" s="21">
        <f>G56/K56</f>
        <v>15860.869565217392</v>
      </c>
      <c r="N56">
        <f>M56+M57</f>
        <v>32824.069565217389</v>
      </c>
    </row>
    <row r="57" spans="1:26" x14ac:dyDescent="0.2">
      <c r="A57" t="s">
        <v>248</v>
      </c>
      <c r="B57" t="s">
        <v>3</v>
      </c>
      <c r="C57">
        <v>19</v>
      </c>
      <c r="D57">
        <v>8</v>
      </c>
      <c r="E57">
        <v>180</v>
      </c>
      <c r="F57">
        <f t="shared" si="13"/>
        <v>152</v>
      </c>
      <c r="G57">
        <f t="shared" si="14"/>
        <v>27360</v>
      </c>
      <c r="H57" s="4">
        <v>46203</v>
      </c>
      <c r="I57" s="21" t="s">
        <v>61</v>
      </c>
      <c r="J57" s="21"/>
      <c r="K57" s="21">
        <f>K2</f>
        <v>0.62</v>
      </c>
      <c r="L57" s="21"/>
      <c r="M57" s="21">
        <f>K57*G57</f>
        <v>16963.2</v>
      </c>
      <c r="Z57" s="3">
        <f>SUM(Z54+Z55)</f>
        <v>81613.391727982176</v>
      </c>
    </row>
    <row r="59" spans="1:26" x14ac:dyDescent="0.2">
      <c r="A59" t="s">
        <v>258</v>
      </c>
      <c r="B59" t="s">
        <v>2</v>
      </c>
      <c r="C59">
        <v>18</v>
      </c>
      <c r="D59">
        <v>8</v>
      </c>
      <c r="E59">
        <v>120</v>
      </c>
      <c r="F59">
        <f t="shared" ref="F59:F60" si="15">D59*C59</f>
        <v>144</v>
      </c>
      <c r="G59">
        <f t="shared" ref="G59:G60" si="16">C59*D59*E59</f>
        <v>17280</v>
      </c>
      <c r="H59" s="4">
        <v>46203</v>
      </c>
      <c r="I59" s="21" t="s">
        <v>61</v>
      </c>
      <c r="J59" s="21"/>
      <c r="K59" s="21">
        <f>K1</f>
        <v>1.1499999999999999</v>
      </c>
      <c r="L59" s="21"/>
      <c r="M59" s="21">
        <f>G59/K59</f>
        <v>15026.08695652174</v>
      </c>
      <c r="N59">
        <f>M59+M60</f>
        <v>31096.486956521738</v>
      </c>
    </row>
    <row r="60" spans="1:26" x14ac:dyDescent="0.2">
      <c r="A60" t="s">
        <v>249</v>
      </c>
      <c r="B60" t="s">
        <v>3</v>
      </c>
      <c r="C60">
        <v>18</v>
      </c>
      <c r="D60">
        <v>8</v>
      </c>
      <c r="E60">
        <v>180</v>
      </c>
      <c r="F60">
        <f t="shared" si="15"/>
        <v>144</v>
      </c>
      <c r="G60">
        <f t="shared" si="16"/>
        <v>25920</v>
      </c>
      <c r="H60" s="4">
        <v>46203</v>
      </c>
      <c r="I60" s="21" t="s">
        <v>61</v>
      </c>
      <c r="J60" s="21"/>
      <c r="K60" s="21">
        <f>K2</f>
        <v>0.62</v>
      </c>
      <c r="L60" s="21"/>
      <c r="M60" s="21">
        <f>K60*G60</f>
        <v>16070.4</v>
      </c>
    </row>
    <row r="62" spans="1:26" x14ac:dyDescent="0.2">
      <c r="N62">
        <f>SUM(N53:N60)</f>
        <v>88106.713043478259</v>
      </c>
      <c r="Q62" s="23">
        <f>Q48+N62-Q53</f>
        <v>343453.5669119287</v>
      </c>
      <c r="U62" s="3">
        <f>Q62-Z57</f>
        <v>261840.17518394653</v>
      </c>
    </row>
  </sheetData>
  <mergeCells count="2">
    <mergeCell ref="C3:H3"/>
    <mergeCell ref="I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7999-F5C2-114C-B374-5F5CC7DE7CFB}">
  <dimension ref="A1:AJ55"/>
  <sheetViews>
    <sheetView workbookViewId="0">
      <selection activeCell="C40" sqref="C40"/>
    </sheetView>
  </sheetViews>
  <sheetFormatPr baseColWidth="10" defaultRowHeight="16" x14ac:dyDescent="0.2"/>
  <cols>
    <col min="1" max="1" width="16.5" bestFit="1" customWidth="1"/>
    <col min="2" max="2" width="46.6640625" bestFit="1" customWidth="1"/>
    <col min="3" max="3" width="12" bestFit="1" customWidth="1"/>
    <col min="4" max="4" width="11" bestFit="1" customWidth="1"/>
    <col min="5" max="5" width="15.6640625" bestFit="1" customWidth="1"/>
    <col min="6" max="6" width="9.83203125" bestFit="1" customWidth="1"/>
    <col min="7" max="7" width="12.5" bestFit="1" customWidth="1"/>
    <col min="8" max="8" width="8.5" bestFit="1" customWidth="1"/>
    <col min="9" max="9" width="9.83203125" bestFit="1" customWidth="1"/>
    <col min="10" max="10" width="14" bestFit="1" customWidth="1"/>
    <col min="11" max="11" width="15" bestFit="1" customWidth="1"/>
    <col min="23" max="23" width="37.33203125" customWidth="1"/>
  </cols>
  <sheetData>
    <row r="1" spans="1:29" x14ac:dyDescent="0.2">
      <c r="K1" s="11"/>
    </row>
    <row r="2" spans="1:29" x14ac:dyDescent="0.2">
      <c r="A2" t="s">
        <v>52</v>
      </c>
      <c r="M2" t="s">
        <v>55</v>
      </c>
    </row>
    <row r="3" spans="1:29" x14ac:dyDescent="0.2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  <c r="Y3" t="s">
        <v>58</v>
      </c>
      <c r="Z3" t="s">
        <v>59</v>
      </c>
      <c r="AA3" t="s">
        <v>7</v>
      </c>
      <c r="AB3" t="s">
        <v>60</v>
      </c>
    </row>
    <row r="4" spans="1:29" x14ac:dyDescent="0.2">
      <c r="A4" s="5">
        <v>46203</v>
      </c>
      <c r="B4" s="6" t="s">
        <v>39</v>
      </c>
      <c r="C4" s="6" t="s">
        <v>37</v>
      </c>
      <c r="D4" s="6">
        <v>18240</v>
      </c>
      <c r="E4" s="6" t="s">
        <v>37</v>
      </c>
      <c r="F4" s="6">
        <v>18240</v>
      </c>
      <c r="G4" s="6"/>
      <c r="H4" s="6">
        <v>0</v>
      </c>
      <c r="I4" s="6">
        <v>18240</v>
      </c>
      <c r="J4" s="6" t="s">
        <v>37</v>
      </c>
      <c r="K4" s="8" t="s">
        <v>40</v>
      </c>
      <c r="M4" s="5">
        <v>46203</v>
      </c>
      <c r="N4" s="6" t="s">
        <v>35</v>
      </c>
      <c r="O4" s="6" t="s">
        <v>37</v>
      </c>
      <c r="P4" s="6">
        <v>-18240</v>
      </c>
      <c r="Q4" s="6" t="s">
        <v>36</v>
      </c>
      <c r="R4" s="6">
        <v>16004.3</v>
      </c>
      <c r="S4" s="6">
        <v>1.1396930000000001</v>
      </c>
      <c r="T4" s="6">
        <v>-96.03</v>
      </c>
      <c r="U4" s="6">
        <v>75575</v>
      </c>
      <c r="V4" s="6" t="s">
        <v>38</v>
      </c>
      <c r="W4" s="6"/>
      <c r="Y4" s="6">
        <v>18240</v>
      </c>
      <c r="AA4">
        <f>S4</f>
        <v>1.1396930000000001</v>
      </c>
      <c r="AC4">
        <f>Y4/AA4</f>
        <v>16004.309932587108</v>
      </c>
    </row>
    <row r="5" spans="1:29" x14ac:dyDescent="0.2">
      <c r="A5" s="5">
        <v>46190</v>
      </c>
      <c r="B5" s="6" t="s">
        <v>44</v>
      </c>
      <c r="C5" s="6" t="s">
        <v>37</v>
      </c>
      <c r="D5" s="6">
        <v>20160</v>
      </c>
      <c r="E5" s="6" t="s">
        <v>37</v>
      </c>
      <c r="F5" s="6">
        <v>20160</v>
      </c>
      <c r="G5" s="6"/>
      <c r="H5" s="6">
        <v>0</v>
      </c>
      <c r="I5" s="6">
        <v>34505.910000000003</v>
      </c>
      <c r="J5" s="6" t="s">
        <v>37</v>
      </c>
      <c r="K5" s="8" t="s">
        <v>45</v>
      </c>
      <c r="M5" s="5">
        <v>46198</v>
      </c>
      <c r="N5" s="6" t="s">
        <v>35</v>
      </c>
      <c r="O5" s="6" t="s">
        <v>37</v>
      </c>
      <c r="P5" s="6">
        <v>-34505.910000000003</v>
      </c>
      <c r="Q5" s="6" t="s">
        <v>36</v>
      </c>
      <c r="R5" s="6">
        <v>30348.06</v>
      </c>
      <c r="S5" s="6">
        <v>1.137005</v>
      </c>
      <c r="T5" s="6">
        <v>-92.09</v>
      </c>
      <c r="U5" s="6">
        <v>42066.9</v>
      </c>
      <c r="V5" s="6" t="s">
        <v>38</v>
      </c>
      <c r="Y5" s="6">
        <v>20160</v>
      </c>
      <c r="AA5">
        <f>S5</f>
        <v>1.137005</v>
      </c>
      <c r="AC5">
        <f>Y5/AA5</f>
        <v>17730.792740577217</v>
      </c>
    </row>
    <row r="6" spans="1:29" x14ac:dyDescent="0.2">
      <c r="A6" s="9">
        <v>46161</v>
      </c>
      <c r="B6" s="8" t="s">
        <v>44</v>
      </c>
      <c r="C6" s="8" t="s">
        <v>37</v>
      </c>
      <c r="D6" s="8">
        <v>16320</v>
      </c>
      <c r="E6" s="8" t="s">
        <v>37</v>
      </c>
      <c r="F6" s="8">
        <v>16320</v>
      </c>
      <c r="G6" s="8"/>
      <c r="H6" s="8">
        <v>0</v>
      </c>
      <c r="I6" s="8">
        <v>66700.89</v>
      </c>
      <c r="J6" s="8" t="s">
        <v>37</v>
      </c>
      <c r="K6" s="8" t="s">
        <v>47</v>
      </c>
      <c r="M6" s="22">
        <v>46176</v>
      </c>
      <c r="N6" s="21" t="s">
        <v>35</v>
      </c>
      <c r="O6" s="21" t="s">
        <v>37</v>
      </c>
      <c r="P6" s="21">
        <f>-(D11+P5+P4)</f>
        <v>-37494.089999999997</v>
      </c>
      <c r="Q6" s="21" t="s">
        <v>36</v>
      </c>
      <c r="R6" s="21">
        <v>68861.820000000007</v>
      </c>
      <c r="S6" s="21">
        <v>1.1616580000000001</v>
      </c>
      <c r="T6" s="21">
        <v>-413.17</v>
      </c>
      <c r="U6" s="21">
        <v>82533.440000000002</v>
      </c>
      <c r="V6" s="21" t="s">
        <v>38</v>
      </c>
      <c r="W6" s="21" t="s">
        <v>67</v>
      </c>
      <c r="Y6" s="8">
        <v>16320</v>
      </c>
      <c r="Z6">
        <f>-P5-Y5</f>
        <v>14345.910000000003</v>
      </c>
      <c r="AA6">
        <f>S5</f>
        <v>1.137005</v>
      </c>
      <c r="AB6">
        <f>Z6/AA6+Z7/AA7</f>
        <v>14316.65240041473</v>
      </c>
      <c r="AC6">
        <f>AB6</f>
        <v>14316.65240041473</v>
      </c>
    </row>
    <row r="7" spans="1:29" x14ac:dyDescent="0.2">
      <c r="P7">
        <f>SUM(P4:P6)</f>
        <v>-90240</v>
      </c>
      <c r="Z7">
        <f>Y6-Z6</f>
        <v>1974.0899999999965</v>
      </c>
      <c r="AA7">
        <f>S6</f>
        <v>1.1616580000000001</v>
      </c>
    </row>
    <row r="8" spans="1:29" x14ac:dyDescent="0.2">
      <c r="A8" s="9">
        <v>46132</v>
      </c>
      <c r="B8" s="8" t="s">
        <v>44</v>
      </c>
      <c r="C8" s="8" t="s">
        <v>37</v>
      </c>
      <c r="D8" s="8">
        <v>17280</v>
      </c>
      <c r="E8" s="8" t="s">
        <v>37</v>
      </c>
      <c r="F8" s="8">
        <v>17280</v>
      </c>
      <c r="G8" s="8"/>
      <c r="H8" s="8">
        <v>0</v>
      </c>
      <c r="I8" s="8">
        <v>85520</v>
      </c>
      <c r="J8" s="8" t="s">
        <v>37</v>
      </c>
      <c r="K8" s="8" t="s">
        <v>48</v>
      </c>
      <c r="Y8" s="8">
        <v>17280</v>
      </c>
      <c r="AA8">
        <f>S6</f>
        <v>1.1616580000000001</v>
      </c>
      <c r="AC8">
        <f>Y8/AA8</f>
        <v>14875.290317804378</v>
      </c>
    </row>
    <row r="9" spans="1:29" x14ac:dyDescent="0.2">
      <c r="A9" s="9">
        <v>46100</v>
      </c>
      <c r="B9" s="8" t="s">
        <v>44</v>
      </c>
      <c r="C9" s="8" t="s">
        <v>37</v>
      </c>
      <c r="D9" s="8">
        <v>18240</v>
      </c>
      <c r="E9" s="8" t="s">
        <v>37</v>
      </c>
      <c r="F9" s="8">
        <v>18240</v>
      </c>
      <c r="G9" s="8"/>
      <c r="H9" s="8">
        <v>0</v>
      </c>
      <c r="I9" s="8">
        <v>68240</v>
      </c>
      <c r="J9" s="8" t="s">
        <v>37</v>
      </c>
      <c r="K9" s="8" t="s">
        <v>49</v>
      </c>
      <c r="Y9" s="8">
        <v>18240</v>
      </c>
      <c r="AA9">
        <f>S6</f>
        <v>1.1616580000000001</v>
      </c>
      <c r="AC9">
        <f>Y9/AA9</f>
        <v>15701.695335460177</v>
      </c>
    </row>
    <row r="10" spans="1:29" x14ac:dyDescent="0.2">
      <c r="M10" s="22">
        <v>46176</v>
      </c>
      <c r="N10" s="21" t="s">
        <v>35</v>
      </c>
      <c r="O10" s="21" t="s">
        <v>37</v>
      </c>
      <c r="P10" s="21">
        <f>-79993.92-P6</f>
        <v>-42499.83</v>
      </c>
      <c r="Q10" s="21" t="s">
        <v>36</v>
      </c>
      <c r="R10" s="21">
        <v>68861.820000000007</v>
      </c>
      <c r="S10" s="21">
        <v>1.1616580000000001</v>
      </c>
      <c r="T10" s="21">
        <v>-413.17</v>
      </c>
      <c r="U10" s="21">
        <v>82533.440000000002</v>
      </c>
      <c r="V10" s="21" t="s">
        <v>38</v>
      </c>
      <c r="W10" s="21" t="s">
        <v>68</v>
      </c>
    </row>
    <row r="11" spans="1:29" x14ac:dyDescent="0.2">
      <c r="A11" t="s">
        <v>55</v>
      </c>
      <c r="D11">
        <f>SUM(D4:D9)</f>
        <v>90240</v>
      </c>
      <c r="AC11">
        <f>SUM(AC3:AC9)</f>
        <v>78628.740726843607</v>
      </c>
    </row>
    <row r="16" spans="1:29" x14ac:dyDescent="0.2">
      <c r="A16" t="s">
        <v>53</v>
      </c>
      <c r="M16" t="s">
        <v>54</v>
      </c>
      <c r="Y16" t="s">
        <v>56</v>
      </c>
    </row>
    <row r="17" spans="1:36" x14ac:dyDescent="0.2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M17" t="s">
        <v>25</v>
      </c>
      <c r="N17" t="s">
        <v>26</v>
      </c>
      <c r="O17" t="s">
        <v>27</v>
      </c>
      <c r="P17" t="s">
        <v>28</v>
      </c>
      <c r="Q17" t="s">
        <v>29</v>
      </c>
      <c r="R17" t="s">
        <v>30</v>
      </c>
      <c r="S17" t="s">
        <v>31</v>
      </c>
      <c r="T17" t="s">
        <v>32</v>
      </c>
      <c r="U17" t="s">
        <v>33</v>
      </c>
      <c r="V17" t="s">
        <v>34</v>
      </c>
    </row>
    <row r="18" spans="1:36" x14ac:dyDescent="0.2">
      <c r="A18" s="12">
        <v>46185</v>
      </c>
      <c r="B18" s="7" t="s">
        <v>46</v>
      </c>
      <c r="C18" s="7" t="s">
        <v>42</v>
      </c>
      <c r="D18" s="7">
        <v>28800</v>
      </c>
      <c r="E18" s="7" t="s">
        <v>42</v>
      </c>
      <c r="F18" s="7">
        <v>28800</v>
      </c>
      <c r="G18" s="7"/>
      <c r="H18" s="7">
        <v>0</v>
      </c>
      <c r="I18" s="7">
        <v>29146.68</v>
      </c>
      <c r="J18" s="7" t="s">
        <v>43</v>
      </c>
      <c r="K18" s="14" t="s">
        <v>45</v>
      </c>
      <c r="M18" s="12">
        <v>46198</v>
      </c>
      <c r="N18" s="7" t="s">
        <v>41</v>
      </c>
      <c r="O18" s="7" t="s">
        <v>42</v>
      </c>
      <c r="P18" s="7">
        <v>-29146.68</v>
      </c>
      <c r="Q18" s="7" t="s">
        <v>36</v>
      </c>
      <c r="R18" s="7">
        <v>18049.66</v>
      </c>
      <c r="S18" s="7">
        <v>1.614805</v>
      </c>
      <c r="T18" s="7">
        <v>-108.3</v>
      </c>
      <c r="U18" s="7">
        <v>60008.26</v>
      </c>
      <c r="V18" s="7" t="s">
        <v>38</v>
      </c>
      <c r="W18" s="6">
        <v>0</v>
      </c>
      <c r="X18" s="6" t="s">
        <v>43</v>
      </c>
      <c r="Y18" s="5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6" x14ac:dyDescent="0.2">
      <c r="A19" s="12">
        <v>46182</v>
      </c>
      <c r="B19" s="7" t="s">
        <v>46</v>
      </c>
      <c r="C19" s="7" t="s">
        <v>42</v>
      </c>
      <c r="D19" s="7">
        <v>346.68</v>
      </c>
      <c r="E19" s="7" t="s">
        <v>42</v>
      </c>
      <c r="F19" s="7">
        <v>346.68</v>
      </c>
      <c r="G19" s="7"/>
      <c r="H19" s="7">
        <v>0</v>
      </c>
      <c r="I19" s="7">
        <v>346.68</v>
      </c>
      <c r="J19" s="7" t="s">
        <v>43</v>
      </c>
      <c r="K19" s="14" t="s">
        <v>47</v>
      </c>
      <c r="Y19" s="5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6" x14ac:dyDescent="0.2">
      <c r="A20" s="16">
        <v>46167</v>
      </c>
      <c r="B20" s="17" t="s">
        <v>46</v>
      </c>
      <c r="C20" s="17" t="s">
        <v>36</v>
      </c>
      <c r="D20" s="17">
        <v>15007.98</v>
      </c>
      <c r="E20" s="17" t="s">
        <v>36</v>
      </c>
      <c r="F20" s="17">
        <v>15007.98</v>
      </c>
      <c r="G20" s="17"/>
      <c r="H20" s="17">
        <v>0</v>
      </c>
      <c r="I20" s="17">
        <v>15074.06</v>
      </c>
      <c r="J20" s="17" t="s">
        <v>38</v>
      </c>
      <c r="K20" s="18" t="s">
        <v>47</v>
      </c>
      <c r="Y20" s="9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 spans="1:36" x14ac:dyDescent="0.2">
      <c r="A21" s="15">
        <v>46132</v>
      </c>
      <c r="B21" s="14" t="s">
        <v>46</v>
      </c>
      <c r="C21" s="14" t="s">
        <v>42</v>
      </c>
      <c r="D21" s="14">
        <v>24480</v>
      </c>
      <c r="E21" s="14" t="s">
        <v>42</v>
      </c>
      <c r="F21" s="14">
        <v>24480</v>
      </c>
      <c r="G21" s="14"/>
      <c r="H21" s="14">
        <v>0</v>
      </c>
      <c r="I21" s="14">
        <v>24480</v>
      </c>
      <c r="J21" s="14" t="s">
        <v>43</v>
      </c>
      <c r="K21" s="14" t="s">
        <v>48</v>
      </c>
      <c r="M21" s="15">
        <v>46132</v>
      </c>
      <c r="N21" s="14" t="s">
        <v>41</v>
      </c>
      <c r="O21" s="14" t="s">
        <v>42</v>
      </c>
      <c r="P21" s="14">
        <v>-24480</v>
      </c>
      <c r="Q21" s="14" t="s">
        <v>36</v>
      </c>
      <c r="R21" s="14">
        <v>15219.42</v>
      </c>
      <c r="S21" s="14">
        <v>1.608471</v>
      </c>
      <c r="T21" s="14">
        <v>-1.32</v>
      </c>
      <c r="U21" s="14">
        <v>72844.27</v>
      </c>
      <c r="V21" s="14" t="s">
        <v>38</v>
      </c>
      <c r="W21" s="8">
        <v>0</v>
      </c>
      <c r="X21" s="8" t="s">
        <v>43</v>
      </c>
      <c r="Y21" s="9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 spans="1:36" x14ac:dyDescent="0.2">
      <c r="A22" s="15">
        <v>46101</v>
      </c>
      <c r="B22" s="14" t="s">
        <v>46</v>
      </c>
      <c r="C22" s="14" t="s">
        <v>42</v>
      </c>
      <c r="D22" s="14">
        <v>29520</v>
      </c>
      <c r="E22" s="14" t="s">
        <v>42</v>
      </c>
      <c r="F22" s="14">
        <v>29520</v>
      </c>
      <c r="G22" s="14"/>
      <c r="H22" s="14">
        <v>0</v>
      </c>
      <c r="I22" s="14">
        <v>29520</v>
      </c>
      <c r="J22" s="14" t="s">
        <v>43</v>
      </c>
      <c r="K22" s="14" t="s">
        <v>49</v>
      </c>
      <c r="M22" s="15">
        <v>46105</v>
      </c>
      <c r="N22" s="14" t="s">
        <v>41</v>
      </c>
      <c r="O22" s="14" t="s">
        <v>42</v>
      </c>
      <c r="P22" s="14">
        <v>-29520</v>
      </c>
      <c r="Q22" s="14" t="s">
        <v>36</v>
      </c>
      <c r="R22" s="14">
        <v>18523.580000000002</v>
      </c>
      <c r="S22" s="14">
        <v>1.5936440000000001</v>
      </c>
      <c r="T22" s="14">
        <v>-111.14</v>
      </c>
      <c r="U22" s="14">
        <v>58534.75</v>
      </c>
      <c r="V22" s="14" t="s">
        <v>38</v>
      </c>
      <c r="W22" s="8">
        <v>0</v>
      </c>
      <c r="X22" s="8" t="s">
        <v>43</v>
      </c>
      <c r="Y22" s="9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6" x14ac:dyDescent="0.2"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5" spans="1:36" x14ac:dyDescent="0.2">
      <c r="Q25" t="s">
        <v>57</v>
      </c>
      <c r="R25">
        <f>SUM(R18:R22)+I20</f>
        <v>66866.720000000001</v>
      </c>
    </row>
    <row r="35" spans="1:11" x14ac:dyDescent="0.2">
      <c r="A35" t="s">
        <v>50</v>
      </c>
    </row>
    <row r="36" spans="1:11" x14ac:dyDescent="0.2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 t="s">
        <v>33</v>
      </c>
      <c r="J36" t="s">
        <v>34</v>
      </c>
    </row>
    <row r="37" spans="1:11" x14ac:dyDescent="0.2">
      <c r="A37" s="10">
        <v>46070</v>
      </c>
      <c r="B37" s="11" t="s">
        <v>46</v>
      </c>
      <c r="C37" s="11" t="s">
        <v>37</v>
      </c>
      <c r="D37" s="11">
        <v>16320</v>
      </c>
      <c r="E37" s="11" t="s">
        <v>37</v>
      </c>
      <c r="F37" s="11">
        <v>16320</v>
      </c>
      <c r="G37" s="11"/>
      <c r="H37" s="11">
        <v>0</v>
      </c>
      <c r="I37" s="11">
        <v>72960</v>
      </c>
      <c r="J37" s="11" t="s">
        <v>37</v>
      </c>
      <c r="K37" s="11" t="s">
        <v>50</v>
      </c>
    </row>
    <row r="38" spans="1:11" x14ac:dyDescent="0.2">
      <c r="A38" s="10">
        <v>46070</v>
      </c>
      <c r="B38" s="11" t="s">
        <v>46</v>
      </c>
      <c r="C38" s="11" t="s">
        <v>42</v>
      </c>
      <c r="D38" s="11">
        <v>13680</v>
      </c>
      <c r="E38" s="11" t="s">
        <v>42</v>
      </c>
      <c r="F38" s="11">
        <v>13680</v>
      </c>
      <c r="G38" s="11"/>
      <c r="H38" s="11">
        <v>0</v>
      </c>
      <c r="I38" s="11">
        <v>25920</v>
      </c>
      <c r="J38" s="11" t="s">
        <v>43</v>
      </c>
      <c r="K38" s="11" t="s">
        <v>50</v>
      </c>
    </row>
    <row r="39" spans="1:11" x14ac:dyDescent="0.2">
      <c r="A39" s="10">
        <v>46045</v>
      </c>
      <c r="B39" s="11" t="s">
        <v>46</v>
      </c>
      <c r="C39" s="11" t="s">
        <v>37</v>
      </c>
      <c r="D39" s="11">
        <v>16320</v>
      </c>
      <c r="E39" s="11" t="s">
        <v>37</v>
      </c>
      <c r="F39" s="11">
        <v>16320</v>
      </c>
      <c r="G39" s="11"/>
      <c r="H39" s="11">
        <v>0</v>
      </c>
      <c r="I39" s="11">
        <v>56640</v>
      </c>
      <c r="J39" s="11" t="s">
        <v>37</v>
      </c>
      <c r="K39" s="11" t="s">
        <v>50</v>
      </c>
    </row>
    <row r="40" spans="1:11" x14ac:dyDescent="0.2">
      <c r="A40" s="10">
        <v>46037</v>
      </c>
      <c r="B40" s="11" t="s">
        <v>46</v>
      </c>
      <c r="C40" s="11" t="s">
        <v>42</v>
      </c>
      <c r="D40" s="11">
        <v>12240</v>
      </c>
      <c r="E40" s="11" t="s">
        <v>42</v>
      </c>
      <c r="F40" s="11">
        <v>12240</v>
      </c>
      <c r="G40" s="11"/>
      <c r="H40" s="11">
        <v>0</v>
      </c>
      <c r="I40" s="11">
        <v>12240</v>
      </c>
      <c r="J40" s="11" t="s">
        <v>43</v>
      </c>
      <c r="K40" s="11" t="s">
        <v>50</v>
      </c>
    </row>
    <row r="42" spans="1:11" x14ac:dyDescent="0.2">
      <c r="A42" t="s">
        <v>51</v>
      </c>
    </row>
    <row r="43" spans="1:11" x14ac:dyDescent="0.2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 t="s">
        <v>33</v>
      </c>
      <c r="J43" t="s">
        <v>34</v>
      </c>
    </row>
    <row r="44" spans="1:11" x14ac:dyDescent="0.2">
      <c r="A44" s="22">
        <v>46176</v>
      </c>
      <c r="B44" s="21" t="s">
        <v>65</v>
      </c>
      <c r="C44" s="21" t="s">
        <v>36</v>
      </c>
      <c r="D44" s="21">
        <v>68861.820000000007</v>
      </c>
      <c r="E44" s="21" t="s">
        <v>37</v>
      </c>
      <c r="F44" s="21">
        <v>-79993.919999999998</v>
      </c>
      <c r="G44" s="21">
        <v>0.86083799999999999</v>
      </c>
      <c r="H44" s="21">
        <v>-413.17</v>
      </c>
      <c r="I44" s="21">
        <v>0</v>
      </c>
      <c r="J44" s="21" t="s">
        <v>66</v>
      </c>
      <c r="K44" s="21" t="s">
        <v>64</v>
      </c>
    </row>
    <row r="45" spans="1:11" x14ac:dyDescent="0.2">
      <c r="A45" s="22">
        <v>46176</v>
      </c>
      <c r="B45" s="21" t="s">
        <v>65</v>
      </c>
      <c r="C45" s="21" t="s">
        <v>37</v>
      </c>
      <c r="D45" s="21">
        <v>-79993.919999999998</v>
      </c>
      <c r="E45" s="21" t="s">
        <v>36</v>
      </c>
      <c r="F45" s="21">
        <v>68861.820000000007</v>
      </c>
      <c r="G45" s="21">
        <v>1.1616580000000001</v>
      </c>
      <c r="H45" s="21">
        <v>-413.17</v>
      </c>
      <c r="I45" s="21">
        <v>82533.440000000002</v>
      </c>
      <c r="J45" s="21" t="s">
        <v>38</v>
      </c>
      <c r="K45" s="21" t="s">
        <v>64</v>
      </c>
    </row>
    <row r="46" spans="1:11" x14ac:dyDescent="0.2">
      <c r="A46" s="5">
        <v>46164</v>
      </c>
      <c r="B46" s="6" t="s">
        <v>35</v>
      </c>
      <c r="C46" s="6" t="s">
        <v>36</v>
      </c>
      <c r="D46" s="6">
        <v>43069.9</v>
      </c>
      <c r="E46" s="6" t="s">
        <v>37</v>
      </c>
      <c r="F46" s="6">
        <v>-50000</v>
      </c>
      <c r="G46" s="6">
        <v>0.861398</v>
      </c>
      <c r="H46" s="6">
        <v>-258.42</v>
      </c>
      <c r="I46" s="6">
        <v>16700.89</v>
      </c>
      <c r="J46" s="6" t="s">
        <v>37</v>
      </c>
      <c r="K46" s="11"/>
    </row>
    <row r="47" spans="1:11" x14ac:dyDescent="0.2">
      <c r="A47" s="5">
        <v>46164</v>
      </c>
      <c r="B47" s="6" t="s">
        <v>35</v>
      </c>
      <c r="C47" s="6" t="s">
        <v>37</v>
      </c>
      <c r="D47" s="6">
        <v>-50000</v>
      </c>
      <c r="E47" s="6" t="s">
        <v>36</v>
      </c>
      <c r="F47" s="6">
        <v>43069.9</v>
      </c>
      <c r="G47" s="6">
        <v>1.160903</v>
      </c>
      <c r="H47" s="6">
        <v>-258.42</v>
      </c>
      <c r="I47" s="6">
        <v>42936.08</v>
      </c>
      <c r="J47" s="6" t="s">
        <v>38</v>
      </c>
      <c r="K47" s="11"/>
    </row>
    <row r="48" spans="1:11" x14ac:dyDescent="0.2">
      <c r="A48" s="5">
        <v>46160</v>
      </c>
      <c r="B48" s="6" t="s">
        <v>35</v>
      </c>
      <c r="C48" s="6" t="s">
        <v>36</v>
      </c>
      <c r="D48" s="6">
        <v>29195.48</v>
      </c>
      <c r="E48" s="6" t="s">
        <v>37</v>
      </c>
      <c r="F48" s="6">
        <v>-34000</v>
      </c>
      <c r="G48" s="6">
        <v>0.85869099999999998</v>
      </c>
      <c r="H48" s="6">
        <v>-85.24</v>
      </c>
      <c r="I48" s="6">
        <v>50380.89</v>
      </c>
      <c r="J48" s="6" t="s">
        <v>37</v>
      </c>
    </row>
    <row r="49" spans="1:10" x14ac:dyDescent="0.2">
      <c r="A49" s="5">
        <v>46160</v>
      </c>
      <c r="B49" s="6" t="s">
        <v>35</v>
      </c>
      <c r="C49" s="6" t="s">
        <v>37</v>
      </c>
      <c r="D49" s="6">
        <v>-34000</v>
      </c>
      <c r="E49" s="6" t="s">
        <v>36</v>
      </c>
      <c r="F49" s="6">
        <v>29195.48</v>
      </c>
      <c r="G49" s="6">
        <v>1.164563</v>
      </c>
      <c r="H49" s="6">
        <v>-85.24</v>
      </c>
      <c r="I49" s="6">
        <v>29124.6</v>
      </c>
      <c r="J49" s="6" t="s">
        <v>38</v>
      </c>
    </row>
    <row r="50" spans="1:10" x14ac:dyDescent="0.2">
      <c r="A50" s="5">
        <v>46100</v>
      </c>
      <c r="B50" s="6" t="s">
        <v>35</v>
      </c>
      <c r="C50" s="6" t="s">
        <v>36</v>
      </c>
      <c r="D50" s="6">
        <v>20031.580000000002</v>
      </c>
      <c r="E50" s="6" t="s">
        <v>37</v>
      </c>
      <c r="F50" s="6">
        <v>-22960</v>
      </c>
      <c r="G50" s="6">
        <v>0.87245600000000001</v>
      </c>
      <c r="H50" s="6">
        <v>-30.19</v>
      </c>
      <c r="I50" s="6">
        <v>50000</v>
      </c>
      <c r="J50" s="6" t="s">
        <v>37</v>
      </c>
    </row>
    <row r="51" spans="1:10" x14ac:dyDescent="0.2">
      <c r="A51" s="5">
        <v>46100</v>
      </c>
      <c r="B51" s="6" t="s">
        <v>35</v>
      </c>
      <c r="C51" s="6" t="s">
        <v>37</v>
      </c>
      <c r="D51" s="6">
        <v>-22960</v>
      </c>
      <c r="E51" s="6" t="s">
        <v>36</v>
      </c>
      <c r="F51" s="6">
        <v>20031.580000000002</v>
      </c>
      <c r="G51" s="6">
        <v>1.14619</v>
      </c>
      <c r="H51" s="6">
        <v>-30.19</v>
      </c>
      <c r="I51" s="6">
        <v>40135.24</v>
      </c>
      <c r="J51" s="6" t="s">
        <v>38</v>
      </c>
    </row>
    <row r="52" spans="1:10" x14ac:dyDescent="0.2">
      <c r="A52" s="10">
        <v>46070</v>
      </c>
      <c r="B52" s="11" t="s">
        <v>41</v>
      </c>
      <c r="C52" s="11" t="s">
        <v>36</v>
      </c>
      <c r="D52" s="11">
        <v>16046.75</v>
      </c>
      <c r="E52" s="11" t="s">
        <v>42</v>
      </c>
      <c r="F52" s="11">
        <v>-25920</v>
      </c>
      <c r="G52" s="11">
        <v>0.61908799999999997</v>
      </c>
      <c r="H52" s="11">
        <v>-6.28</v>
      </c>
      <c r="I52" s="11">
        <v>0</v>
      </c>
      <c r="J52" s="11" t="s">
        <v>43</v>
      </c>
    </row>
    <row r="53" spans="1:10" x14ac:dyDescent="0.2">
      <c r="A53" s="10">
        <v>46070</v>
      </c>
      <c r="B53" s="11" t="s">
        <v>41</v>
      </c>
      <c r="C53" s="11" t="s">
        <v>42</v>
      </c>
      <c r="D53" s="11">
        <v>-25920</v>
      </c>
      <c r="E53" s="11" t="s">
        <v>36</v>
      </c>
      <c r="F53" s="11">
        <v>16046.75</v>
      </c>
      <c r="G53" s="11">
        <v>1.61528</v>
      </c>
      <c r="H53" s="11">
        <v>-6.28</v>
      </c>
      <c r="I53" s="11">
        <v>21532.41</v>
      </c>
      <c r="J53" s="11" t="s">
        <v>38</v>
      </c>
    </row>
    <row r="54" spans="1:10" ht="17" customHeight="1" x14ac:dyDescent="0.2">
      <c r="A54" s="10">
        <v>46036</v>
      </c>
      <c r="B54" s="11" t="s">
        <v>41</v>
      </c>
      <c r="C54" s="11" t="s">
        <v>36</v>
      </c>
      <c r="D54" s="11">
        <v>3447.86</v>
      </c>
      <c r="E54" s="11" t="s">
        <v>42</v>
      </c>
      <c r="F54" s="11">
        <v>-5580</v>
      </c>
      <c r="G54" s="11">
        <v>0.61789700000000003</v>
      </c>
      <c r="H54" s="11">
        <v>0</v>
      </c>
      <c r="I54" s="11">
        <v>0</v>
      </c>
      <c r="J54" s="11" t="s">
        <v>43</v>
      </c>
    </row>
    <row r="55" spans="1:10" x14ac:dyDescent="0.2">
      <c r="A55" s="10">
        <v>46036</v>
      </c>
      <c r="B55" s="11" t="s">
        <v>41</v>
      </c>
      <c r="C55" s="11" t="s">
        <v>42</v>
      </c>
      <c r="D55" s="11">
        <v>-5580</v>
      </c>
      <c r="E55" s="11" t="s">
        <v>36</v>
      </c>
      <c r="F55" s="11">
        <v>3447.86</v>
      </c>
      <c r="G55" s="11">
        <v>1.618393</v>
      </c>
      <c r="H55" s="11">
        <v>0</v>
      </c>
      <c r="I55" s="11">
        <v>9114.57</v>
      </c>
      <c r="J55" s="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9606-51A4-704D-91B6-B45E09E4D6F4}">
  <dimension ref="A1:K262"/>
  <sheetViews>
    <sheetView workbookViewId="0">
      <selection activeCell="K2" sqref="K2"/>
    </sheetView>
  </sheetViews>
  <sheetFormatPr baseColWidth="10" defaultRowHeight="16" x14ac:dyDescent="0.2"/>
  <sheetData>
    <row r="1" spans="1:11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250</v>
      </c>
    </row>
    <row r="2" spans="1:11" x14ac:dyDescent="0.2">
      <c r="A2" s="10">
        <v>46203</v>
      </c>
      <c r="B2" s="11" t="s">
        <v>35</v>
      </c>
      <c r="C2" s="11" t="s">
        <v>36</v>
      </c>
      <c r="D2" s="11">
        <v>16004.3</v>
      </c>
      <c r="E2" s="11" t="s">
        <v>37</v>
      </c>
      <c r="F2" s="11">
        <v>-18240</v>
      </c>
      <c r="G2" s="11">
        <v>0.87742900000000001</v>
      </c>
      <c r="H2" s="11">
        <v>-96.03</v>
      </c>
      <c r="I2" s="11">
        <v>0</v>
      </c>
      <c r="J2" s="11" t="s">
        <v>37</v>
      </c>
      <c r="K2" s="11" t="s">
        <v>89</v>
      </c>
    </row>
    <row r="3" spans="1:11" x14ac:dyDescent="0.2">
      <c r="A3" s="10">
        <v>46203</v>
      </c>
      <c r="B3" s="11" t="s">
        <v>35</v>
      </c>
      <c r="C3" s="11" t="s">
        <v>37</v>
      </c>
      <c r="D3" s="11">
        <v>-18240</v>
      </c>
      <c r="E3" s="11" t="s">
        <v>36</v>
      </c>
      <c r="F3" s="11">
        <v>16004.3</v>
      </c>
      <c r="G3" s="11">
        <v>1.1396930000000001</v>
      </c>
      <c r="H3" s="11">
        <v>-96.03</v>
      </c>
      <c r="I3" s="11">
        <v>75575</v>
      </c>
      <c r="J3" s="11" t="s">
        <v>38</v>
      </c>
      <c r="K3" s="11" t="s">
        <v>89</v>
      </c>
    </row>
    <row r="4" spans="1:11" x14ac:dyDescent="0.2">
      <c r="A4" s="4">
        <v>46202</v>
      </c>
      <c r="B4" t="s">
        <v>90</v>
      </c>
      <c r="C4" t="s">
        <v>36</v>
      </c>
      <c r="D4">
        <v>6.5</v>
      </c>
      <c r="E4" t="s">
        <v>36</v>
      </c>
      <c r="F4">
        <v>-6.5</v>
      </c>
      <c r="H4">
        <v>0</v>
      </c>
      <c r="I4">
        <v>59666.73</v>
      </c>
      <c r="J4" t="s">
        <v>38</v>
      </c>
      <c r="K4" t="s">
        <v>75</v>
      </c>
    </row>
    <row r="5" spans="1:11" x14ac:dyDescent="0.2">
      <c r="A5" s="10">
        <v>46203</v>
      </c>
      <c r="B5" s="11" t="s">
        <v>39</v>
      </c>
      <c r="C5" s="11" t="s">
        <v>37</v>
      </c>
      <c r="D5" s="11">
        <v>18240</v>
      </c>
      <c r="E5" s="11" t="s">
        <v>37</v>
      </c>
      <c r="F5" s="11">
        <v>18240</v>
      </c>
      <c r="G5" s="11"/>
      <c r="H5" s="11">
        <v>0</v>
      </c>
      <c r="I5" s="11">
        <v>18240</v>
      </c>
      <c r="J5" s="11" t="s">
        <v>37</v>
      </c>
      <c r="K5" s="28" t="s">
        <v>40</v>
      </c>
    </row>
    <row r="6" spans="1:11" x14ac:dyDescent="0.2">
      <c r="A6" s="4">
        <v>46202</v>
      </c>
      <c r="B6" t="s">
        <v>91</v>
      </c>
      <c r="C6" t="s">
        <v>37</v>
      </c>
      <c r="D6">
        <v>13.02</v>
      </c>
      <c r="E6" t="s">
        <v>36</v>
      </c>
      <c r="F6">
        <v>-11.42</v>
      </c>
      <c r="G6">
        <v>1.140226</v>
      </c>
      <c r="H6">
        <v>-7.0000000000000007E-2</v>
      </c>
      <c r="I6">
        <v>59673.23</v>
      </c>
      <c r="J6" t="s">
        <v>38</v>
      </c>
      <c r="K6" t="s">
        <v>75</v>
      </c>
    </row>
    <row r="7" spans="1:11" x14ac:dyDescent="0.2">
      <c r="A7" s="4">
        <v>46202</v>
      </c>
      <c r="B7" t="s">
        <v>92</v>
      </c>
      <c r="C7" t="s">
        <v>36</v>
      </c>
      <c r="D7">
        <v>108</v>
      </c>
      <c r="E7" t="s">
        <v>36</v>
      </c>
      <c r="F7">
        <v>-108</v>
      </c>
      <c r="H7">
        <v>0</v>
      </c>
      <c r="I7">
        <v>59684.72</v>
      </c>
      <c r="J7" t="s">
        <v>38</v>
      </c>
      <c r="K7" t="s">
        <v>75</v>
      </c>
    </row>
    <row r="8" spans="1:11" x14ac:dyDescent="0.2">
      <c r="A8" s="4">
        <v>46201</v>
      </c>
      <c r="B8" t="s">
        <v>93</v>
      </c>
      <c r="C8" t="s">
        <v>36</v>
      </c>
      <c r="D8">
        <v>150</v>
      </c>
      <c r="E8" t="s">
        <v>36</v>
      </c>
      <c r="F8">
        <v>-150</v>
      </c>
      <c r="H8">
        <v>0</v>
      </c>
      <c r="I8">
        <v>59792.72</v>
      </c>
      <c r="J8" t="s">
        <v>38</v>
      </c>
      <c r="K8" t="s">
        <v>75</v>
      </c>
    </row>
    <row r="9" spans="1:11" x14ac:dyDescent="0.2">
      <c r="A9" s="4">
        <v>46200</v>
      </c>
      <c r="B9" t="s">
        <v>94</v>
      </c>
      <c r="C9" t="s">
        <v>36</v>
      </c>
      <c r="D9">
        <v>9.5500000000000007</v>
      </c>
      <c r="E9" t="s">
        <v>36</v>
      </c>
      <c r="F9">
        <v>-9.5500000000000007</v>
      </c>
      <c r="H9">
        <v>0</v>
      </c>
      <c r="I9">
        <v>59942.720000000001</v>
      </c>
      <c r="J9" t="s">
        <v>38</v>
      </c>
      <c r="K9" t="s">
        <v>75</v>
      </c>
    </row>
    <row r="10" spans="1:11" x14ac:dyDescent="0.2">
      <c r="A10" s="4">
        <v>46199</v>
      </c>
      <c r="B10" t="s">
        <v>95</v>
      </c>
      <c r="C10" t="s">
        <v>36</v>
      </c>
      <c r="D10">
        <v>39.200000000000003</v>
      </c>
      <c r="E10" t="s">
        <v>36</v>
      </c>
      <c r="F10">
        <v>-39.200000000000003</v>
      </c>
      <c r="H10">
        <v>0</v>
      </c>
      <c r="I10">
        <v>59952.27</v>
      </c>
      <c r="J10" t="s">
        <v>38</v>
      </c>
      <c r="K10" t="s">
        <v>75</v>
      </c>
    </row>
    <row r="11" spans="1:11" x14ac:dyDescent="0.2">
      <c r="A11" s="4">
        <v>46198</v>
      </c>
      <c r="B11" t="s">
        <v>96</v>
      </c>
      <c r="C11" t="s">
        <v>36</v>
      </c>
      <c r="D11">
        <v>16.79</v>
      </c>
      <c r="E11" t="s">
        <v>36</v>
      </c>
      <c r="F11">
        <v>-16.79</v>
      </c>
      <c r="H11">
        <v>0</v>
      </c>
      <c r="I11">
        <v>59991.47</v>
      </c>
      <c r="J11" t="s">
        <v>38</v>
      </c>
      <c r="K11" t="s">
        <v>75</v>
      </c>
    </row>
    <row r="12" spans="1:11" x14ac:dyDescent="0.2">
      <c r="A12" s="10">
        <v>46198</v>
      </c>
      <c r="B12" s="11" t="s">
        <v>41</v>
      </c>
      <c r="C12" s="11" t="s">
        <v>36</v>
      </c>
      <c r="D12" s="11">
        <v>18049.66</v>
      </c>
      <c r="E12" s="11" t="s">
        <v>42</v>
      </c>
      <c r="F12" s="11">
        <v>-29146.68</v>
      </c>
      <c r="G12" s="11">
        <v>0.61926999999999999</v>
      </c>
      <c r="H12" s="11">
        <v>-108.3</v>
      </c>
      <c r="I12" s="11">
        <v>0</v>
      </c>
      <c r="J12" s="11" t="s">
        <v>43</v>
      </c>
      <c r="K12" s="11" t="s">
        <v>97</v>
      </c>
    </row>
    <row r="13" spans="1:11" x14ac:dyDescent="0.2">
      <c r="A13" s="10">
        <v>46198</v>
      </c>
      <c r="B13" s="11" t="s">
        <v>41</v>
      </c>
      <c r="C13" s="11" t="s">
        <v>42</v>
      </c>
      <c r="D13" s="11">
        <v>-29146.68</v>
      </c>
      <c r="E13" s="11" t="s">
        <v>36</v>
      </c>
      <c r="F13" s="11">
        <v>18049.66</v>
      </c>
      <c r="G13" s="11">
        <v>1.614805</v>
      </c>
      <c r="H13" s="11">
        <v>-108.3</v>
      </c>
      <c r="I13" s="11">
        <v>60008.26</v>
      </c>
      <c r="J13" s="11" t="s">
        <v>38</v>
      </c>
      <c r="K13" s="11" t="s">
        <v>97</v>
      </c>
    </row>
    <row r="14" spans="1:11" x14ac:dyDescent="0.2">
      <c r="A14" s="10">
        <v>46198</v>
      </c>
      <c r="B14" s="11" t="s">
        <v>35</v>
      </c>
      <c r="C14" s="11" t="s">
        <v>36</v>
      </c>
      <c r="D14" s="11">
        <v>30348.06</v>
      </c>
      <c r="E14" s="11" t="s">
        <v>37</v>
      </c>
      <c r="F14" s="11">
        <v>-34505.910000000003</v>
      </c>
      <c r="G14" s="11">
        <v>0.87950300000000003</v>
      </c>
      <c r="H14" s="11">
        <v>-92.09</v>
      </c>
      <c r="I14" s="11">
        <v>0</v>
      </c>
      <c r="J14" s="11" t="s">
        <v>37</v>
      </c>
      <c r="K14" s="11" t="s">
        <v>89</v>
      </c>
    </row>
    <row r="15" spans="1:11" x14ac:dyDescent="0.2">
      <c r="A15" s="10">
        <v>46198</v>
      </c>
      <c r="B15" s="11" t="s">
        <v>35</v>
      </c>
      <c r="C15" s="11" t="s">
        <v>37</v>
      </c>
      <c r="D15" s="11">
        <v>-34505.910000000003</v>
      </c>
      <c r="E15" s="11" t="s">
        <v>36</v>
      </c>
      <c r="F15" s="11">
        <v>30348.06</v>
      </c>
      <c r="G15" s="11">
        <v>1.137005</v>
      </c>
      <c r="H15" s="11">
        <v>-92.09</v>
      </c>
      <c r="I15" s="11">
        <v>42066.9</v>
      </c>
      <c r="J15" s="11" t="s">
        <v>38</v>
      </c>
      <c r="K15" s="11" t="s">
        <v>89</v>
      </c>
    </row>
    <row r="16" spans="1:11" x14ac:dyDescent="0.2">
      <c r="A16" s="4">
        <v>46195</v>
      </c>
      <c r="B16" t="s">
        <v>98</v>
      </c>
      <c r="C16" t="s">
        <v>36</v>
      </c>
      <c r="D16">
        <v>16.2</v>
      </c>
      <c r="E16" t="s">
        <v>36</v>
      </c>
      <c r="F16">
        <v>-16.2</v>
      </c>
      <c r="H16">
        <v>0</v>
      </c>
      <c r="I16">
        <v>11810.93</v>
      </c>
      <c r="J16" t="s">
        <v>38</v>
      </c>
      <c r="K16" t="s">
        <v>75</v>
      </c>
    </row>
    <row r="17" spans="1:11" x14ac:dyDescent="0.2">
      <c r="A17" s="4">
        <v>46196</v>
      </c>
      <c r="B17" t="s">
        <v>99</v>
      </c>
      <c r="C17" t="s">
        <v>36</v>
      </c>
      <c r="D17">
        <v>27.54</v>
      </c>
      <c r="E17" t="s">
        <v>36</v>
      </c>
      <c r="F17">
        <v>-27.54</v>
      </c>
      <c r="H17">
        <v>0</v>
      </c>
      <c r="I17">
        <v>11827.13</v>
      </c>
      <c r="J17" t="s">
        <v>38</v>
      </c>
      <c r="K17" t="s">
        <v>75</v>
      </c>
    </row>
    <row r="18" spans="1:11" x14ac:dyDescent="0.2">
      <c r="A18" s="4">
        <v>46195</v>
      </c>
      <c r="B18" t="s">
        <v>100</v>
      </c>
      <c r="C18" t="s">
        <v>36</v>
      </c>
      <c r="D18">
        <v>55.9</v>
      </c>
      <c r="E18" t="s">
        <v>36</v>
      </c>
      <c r="F18">
        <v>-55.9</v>
      </c>
      <c r="H18">
        <v>0</v>
      </c>
      <c r="I18">
        <v>11854.67</v>
      </c>
      <c r="J18" t="s">
        <v>38</v>
      </c>
      <c r="K18" t="s">
        <v>75</v>
      </c>
    </row>
    <row r="19" spans="1:11" x14ac:dyDescent="0.2">
      <c r="A19" s="4">
        <v>46193</v>
      </c>
      <c r="B19" t="s">
        <v>101</v>
      </c>
      <c r="C19" t="s">
        <v>36</v>
      </c>
      <c r="D19">
        <v>80</v>
      </c>
      <c r="E19" t="s">
        <v>36</v>
      </c>
      <c r="F19">
        <v>-80</v>
      </c>
      <c r="H19">
        <v>0</v>
      </c>
      <c r="I19">
        <v>11910.57</v>
      </c>
      <c r="J19" t="s">
        <v>38</v>
      </c>
      <c r="K19" t="s">
        <v>75</v>
      </c>
    </row>
    <row r="20" spans="1:11" x14ac:dyDescent="0.2">
      <c r="A20" s="4">
        <v>46192</v>
      </c>
      <c r="B20" t="s">
        <v>90</v>
      </c>
      <c r="C20" t="s">
        <v>36</v>
      </c>
      <c r="D20">
        <v>9.1</v>
      </c>
      <c r="E20" t="s">
        <v>36</v>
      </c>
      <c r="F20">
        <v>-9.1</v>
      </c>
      <c r="H20">
        <v>0</v>
      </c>
      <c r="I20">
        <v>11990.57</v>
      </c>
      <c r="J20" t="s">
        <v>38</v>
      </c>
      <c r="K20" t="s">
        <v>75</v>
      </c>
    </row>
    <row r="21" spans="1:11" x14ac:dyDescent="0.2">
      <c r="A21" s="4">
        <v>46192</v>
      </c>
      <c r="B21" t="s">
        <v>99</v>
      </c>
      <c r="C21" t="s">
        <v>36</v>
      </c>
      <c r="D21">
        <v>4.25</v>
      </c>
      <c r="E21" t="s">
        <v>36</v>
      </c>
      <c r="F21">
        <v>-4.25</v>
      </c>
      <c r="H21">
        <v>0</v>
      </c>
      <c r="I21">
        <v>11999.67</v>
      </c>
      <c r="J21" t="s">
        <v>38</v>
      </c>
      <c r="K21" t="s">
        <v>75</v>
      </c>
    </row>
    <row r="22" spans="1:11" x14ac:dyDescent="0.2">
      <c r="A22" s="4">
        <v>46191</v>
      </c>
      <c r="B22" t="s">
        <v>102</v>
      </c>
      <c r="C22" t="s">
        <v>36</v>
      </c>
      <c r="D22">
        <v>52.5</v>
      </c>
      <c r="E22" t="s">
        <v>36</v>
      </c>
      <c r="F22">
        <v>-52.5</v>
      </c>
      <c r="H22">
        <v>0</v>
      </c>
      <c r="I22">
        <v>12003.92</v>
      </c>
      <c r="J22" t="s">
        <v>38</v>
      </c>
      <c r="K22" t="s">
        <v>75</v>
      </c>
    </row>
    <row r="23" spans="1:11" x14ac:dyDescent="0.2">
      <c r="A23" s="10">
        <v>46190</v>
      </c>
      <c r="B23" s="11" t="s">
        <v>44</v>
      </c>
      <c r="C23" s="11" t="s">
        <v>37</v>
      </c>
      <c r="D23" s="11">
        <v>20160</v>
      </c>
      <c r="E23" s="11" t="s">
        <v>37</v>
      </c>
      <c r="F23" s="11">
        <v>20160</v>
      </c>
      <c r="G23" s="11"/>
      <c r="H23" s="11">
        <v>0</v>
      </c>
      <c r="I23" s="11">
        <v>34505.910000000003</v>
      </c>
      <c r="J23" s="11" t="s">
        <v>37</v>
      </c>
      <c r="K23" s="28" t="s">
        <v>45</v>
      </c>
    </row>
    <row r="24" spans="1:11" x14ac:dyDescent="0.2">
      <c r="A24" s="4">
        <v>46188</v>
      </c>
      <c r="B24" t="s">
        <v>103</v>
      </c>
      <c r="C24" t="s">
        <v>36</v>
      </c>
      <c r="D24">
        <v>7.4</v>
      </c>
      <c r="E24" t="s">
        <v>36</v>
      </c>
      <c r="F24">
        <v>-7.4</v>
      </c>
      <c r="H24">
        <v>0</v>
      </c>
      <c r="I24">
        <v>12056.42</v>
      </c>
      <c r="J24" t="s">
        <v>38</v>
      </c>
      <c r="K24" t="s">
        <v>75</v>
      </c>
    </row>
    <row r="25" spans="1:11" x14ac:dyDescent="0.2">
      <c r="A25" s="4">
        <v>46188</v>
      </c>
      <c r="B25" t="s">
        <v>103</v>
      </c>
      <c r="C25" t="s">
        <v>36</v>
      </c>
      <c r="D25">
        <v>10.6</v>
      </c>
      <c r="E25" t="s">
        <v>36</v>
      </c>
      <c r="F25">
        <v>-10.6</v>
      </c>
      <c r="H25">
        <v>0</v>
      </c>
      <c r="I25">
        <v>12063.82</v>
      </c>
      <c r="J25" t="s">
        <v>38</v>
      </c>
      <c r="K25" t="s">
        <v>75</v>
      </c>
    </row>
    <row r="26" spans="1:11" x14ac:dyDescent="0.2">
      <c r="A26" s="4">
        <v>46188</v>
      </c>
      <c r="B26" t="s">
        <v>94</v>
      </c>
      <c r="C26" t="s">
        <v>36</v>
      </c>
      <c r="D26">
        <v>52.47</v>
      </c>
      <c r="E26" t="s">
        <v>36</v>
      </c>
      <c r="F26">
        <v>-52.47</v>
      </c>
      <c r="H26">
        <v>0</v>
      </c>
      <c r="I26">
        <v>12074.42</v>
      </c>
      <c r="J26" t="s">
        <v>38</v>
      </c>
      <c r="K26" t="s">
        <v>75</v>
      </c>
    </row>
    <row r="27" spans="1:11" x14ac:dyDescent="0.2">
      <c r="A27" s="4">
        <v>46187</v>
      </c>
      <c r="B27" t="s">
        <v>104</v>
      </c>
      <c r="C27" t="s">
        <v>36</v>
      </c>
      <c r="D27">
        <v>35</v>
      </c>
      <c r="E27" t="s">
        <v>36</v>
      </c>
      <c r="F27">
        <v>-35</v>
      </c>
      <c r="H27">
        <v>0</v>
      </c>
      <c r="I27">
        <v>12126.89</v>
      </c>
      <c r="J27" t="s">
        <v>38</v>
      </c>
      <c r="K27" t="s">
        <v>75</v>
      </c>
    </row>
    <row r="28" spans="1:11" x14ac:dyDescent="0.2">
      <c r="A28" s="4">
        <v>46184</v>
      </c>
      <c r="B28" t="s">
        <v>105</v>
      </c>
      <c r="C28" t="s">
        <v>36</v>
      </c>
      <c r="D28">
        <v>7.5</v>
      </c>
      <c r="E28" t="s">
        <v>36</v>
      </c>
      <c r="F28">
        <v>-7.5</v>
      </c>
      <c r="H28">
        <v>0</v>
      </c>
      <c r="I28">
        <v>12161.89</v>
      </c>
      <c r="J28" t="s">
        <v>38</v>
      </c>
      <c r="K28" t="s">
        <v>75</v>
      </c>
    </row>
    <row r="29" spans="1:11" x14ac:dyDescent="0.2">
      <c r="A29" s="10">
        <v>46185</v>
      </c>
      <c r="B29" s="11" t="s">
        <v>46</v>
      </c>
      <c r="C29" s="11" t="s">
        <v>42</v>
      </c>
      <c r="D29" s="11">
        <v>28800</v>
      </c>
      <c r="E29" s="11" t="s">
        <v>42</v>
      </c>
      <c r="F29" s="11">
        <v>28800</v>
      </c>
      <c r="G29" s="11"/>
      <c r="H29" s="11">
        <v>0</v>
      </c>
      <c r="I29" s="11">
        <v>29146.68</v>
      </c>
      <c r="J29" s="11" t="s">
        <v>43</v>
      </c>
      <c r="K29" s="28" t="s">
        <v>45</v>
      </c>
    </row>
    <row r="30" spans="1:11" x14ac:dyDescent="0.2">
      <c r="A30" s="4">
        <v>46184</v>
      </c>
      <c r="B30" t="s">
        <v>106</v>
      </c>
      <c r="C30" t="s">
        <v>36</v>
      </c>
      <c r="D30">
        <v>20.100000000000001</v>
      </c>
      <c r="E30" t="s">
        <v>36</v>
      </c>
      <c r="F30">
        <v>-20.100000000000001</v>
      </c>
      <c r="H30">
        <v>0</v>
      </c>
      <c r="I30">
        <v>12169.39</v>
      </c>
      <c r="J30" t="s">
        <v>38</v>
      </c>
      <c r="K30" t="s">
        <v>75</v>
      </c>
    </row>
    <row r="31" spans="1:11" x14ac:dyDescent="0.2">
      <c r="A31" s="4">
        <v>46184</v>
      </c>
      <c r="B31" t="s">
        <v>107</v>
      </c>
      <c r="C31" t="s">
        <v>36</v>
      </c>
      <c r="D31">
        <v>4.3</v>
      </c>
      <c r="E31" t="s">
        <v>36</v>
      </c>
      <c r="F31">
        <v>-4.3</v>
      </c>
      <c r="H31">
        <v>0</v>
      </c>
      <c r="I31">
        <v>12189.49</v>
      </c>
      <c r="J31" t="s">
        <v>38</v>
      </c>
      <c r="K31" t="s">
        <v>75</v>
      </c>
    </row>
    <row r="32" spans="1:11" x14ac:dyDescent="0.2">
      <c r="A32" s="4">
        <v>46184</v>
      </c>
      <c r="B32" t="s">
        <v>108</v>
      </c>
      <c r="C32" t="s">
        <v>36</v>
      </c>
      <c r="D32">
        <v>4.3</v>
      </c>
      <c r="E32" t="s">
        <v>36</v>
      </c>
      <c r="F32">
        <v>-4.3</v>
      </c>
      <c r="H32">
        <v>0</v>
      </c>
      <c r="I32">
        <v>12193.79</v>
      </c>
      <c r="J32" t="s">
        <v>38</v>
      </c>
      <c r="K32" t="s">
        <v>75</v>
      </c>
    </row>
    <row r="33" spans="1:11" x14ac:dyDescent="0.2">
      <c r="A33" s="4">
        <v>46184</v>
      </c>
      <c r="B33" t="s">
        <v>94</v>
      </c>
      <c r="C33" t="s">
        <v>36</v>
      </c>
      <c r="D33">
        <v>49.39</v>
      </c>
      <c r="E33" t="s">
        <v>36</v>
      </c>
      <c r="F33">
        <v>-49.39</v>
      </c>
      <c r="H33">
        <v>0</v>
      </c>
      <c r="I33">
        <v>12198.09</v>
      </c>
      <c r="J33" t="s">
        <v>38</v>
      </c>
      <c r="K33" t="s">
        <v>75</v>
      </c>
    </row>
    <row r="34" spans="1:11" x14ac:dyDescent="0.2">
      <c r="A34" s="10">
        <v>46183</v>
      </c>
      <c r="B34" s="11" t="s">
        <v>109</v>
      </c>
      <c r="C34" s="11" t="s">
        <v>36</v>
      </c>
      <c r="D34" s="11">
        <v>70000</v>
      </c>
      <c r="E34" s="11" t="s">
        <v>36</v>
      </c>
      <c r="F34" s="11">
        <v>-70000</v>
      </c>
      <c r="G34" s="11"/>
      <c r="H34" s="11">
        <v>0</v>
      </c>
      <c r="I34" s="11">
        <v>12247.48</v>
      </c>
      <c r="J34" s="11" t="s">
        <v>38</v>
      </c>
      <c r="K34" s="11" t="s">
        <v>110</v>
      </c>
    </row>
    <row r="35" spans="1:11" x14ac:dyDescent="0.2">
      <c r="A35" s="4">
        <v>46182</v>
      </c>
      <c r="B35" t="s">
        <v>111</v>
      </c>
      <c r="C35" t="s">
        <v>36</v>
      </c>
      <c r="D35">
        <v>39.5</v>
      </c>
      <c r="E35" t="s">
        <v>36</v>
      </c>
      <c r="F35">
        <v>-39.5</v>
      </c>
      <c r="H35">
        <v>0</v>
      </c>
      <c r="I35">
        <v>82247.48</v>
      </c>
      <c r="J35" t="s">
        <v>38</v>
      </c>
      <c r="K35" t="s">
        <v>75</v>
      </c>
    </row>
    <row r="36" spans="1:11" x14ac:dyDescent="0.2">
      <c r="A36" s="4">
        <v>46182</v>
      </c>
      <c r="B36" t="s">
        <v>112</v>
      </c>
      <c r="C36" t="s">
        <v>37</v>
      </c>
      <c r="D36">
        <v>20</v>
      </c>
      <c r="E36" t="s">
        <v>36</v>
      </c>
      <c r="F36">
        <f>D36/1.17</f>
        <v>17.094017094017094</v>
      </c>
      <c r="H36">
        <v>0</v>
      </c>
      <c r="I36">
        <v>14345.91</v>
      </c>
      <c r="J36" t="s">
        <v>37</v>
      </c>
      <c r="K36" t="s">
        <v>75</v>
      </c>
    </row>
    <row r="37" spans="1:11" x14ac:dyDescent="0.2">
      <c r="A37" s="11"/>
      <c r="B37" s="11" t="s">
        <v>46</v>
      </c>
      <c r="C37" s="11" t="s">
        <v>42</v>
      </c>
      <c r="D37" s="11">
        <v>346.68</v>
      </c>
      <c r="E37" s="11" t="s">
        <v>42</v>
      </c>
      <c r="F37" s="11">
        <v>346.68</v>
      </c>
      <c r="G37" s="11"/>
      <c r="H37" s="11">
        <v>0</v>
      </c>
      <c r="I37" s="11">
        <v>346.68</v>
      </c>
      <c r="J37" s="11" t="s">
        <v>43</v>
      </c>
      <c r="K37" s="28" t="s">
        <v>47</v>
      </c>
    </row>
    <row r="38" spans="1:11" x14ac:dyDescent="0.2">
      <c r="A38" s="4">
        <v>46181</v>
      </c>
      <c r="B38" t="s">
        <v>113</v>
      </c>
      <c r="C38" t="s">
        <v>36</v>
      </c>
      <c r="D38">
        <v>27.31</v>
      </c>
      <c r="E38" t="s">
        <v>36</v>
      </c>
      <c r="F38">
        <v>-27.31</v>
      </c>
      <c r="H38">
        <v>0</v>
      </c>
      <c r="I38">
        <v>82286.98</v>
      </c>
      <c r="J38" t="s">
        <v>38</v>
      </c>
      <c r="K38" t="s">
        <v>75</v>
      </c>
    </row>
    <row r="39" spans="1:11" x14ac:dyDescent="0.2">
      <c r="A39" s="4">
        <v>46180</v>
      </c>
      <c r="B39" t="s">
        <v>114</v>
      </c>
      <c r="C39" t="s">
        <v>36</v>
      </c>
      <c r="D39">
        <v>3.75</v>
      </c>
      <c r="E39" t="s">
        <v>36</v>
      </c>
      <c r="F39">
        <v>-3.75</v>
      </c>
      <c r="H39">
        <v>0</v>
      </c>
      <c r="I39">
        <v>82314.289999999994</v>
      </c>
      <c r="J39" t="s">
        <v>38</v>
      </c>
      <c r="K39" t="s">
        <v>75</v>
      </c>
    </row>
    <row r="40" spans="1:11" x14ac:dyDescent="0.2">
      <c r="A40" s="4">
        <v>46180</v>
      </c>
      <c r="B40" t="s">
        <v>94</v>
      </c>
      <c r="C40" t="s">
        <v>36</v>
      </c>
      <c r="D40">
        <v>7.32</v>
      </c>
      <c r="E40" t="s">
        <v>36</v>
      </c>
      <c r="F40">
        <v>-7.32</v>
      </c>
      <c r="H40">
        <v>0</v>
      </c>
      <c r="I40">
        <v>82318.039999999994</v>
      </c>
      <c r="J40" t="s">
        <v>38</v>
      </c>
      <c r="K40" t="s">
        <v>75</v>
      </c>
    </row>
    <row r="41" spans="1:11" x14ac:dyDescent="0.2">
      <c r="A41" s="4">
        <v>46177</v>
      </c>
      <c r="B41" t="s">
        <v>115</v>
      </c>
      <c r="C41" t="s">
        <v>36</v>
      </c>
      <c r="D41">
        <v>39.99</v>
      </c>
      <c r="E41" t="s">
        <v>36</v>
      </c>
      <c r="F41">
        <v>-39.99</v>
      </c>
      <c r="H41">
        <v>0</v>
      </c>
      <c r="I41">
        <v>82325.36</v>
      </c>
      <c r="J41" t="s">
        <v>38</v>
      </c>
      <c r="K41" t="s">
        <v>75</v>
      </c>
    </row>
    <row r="42" spans="1:11" x14ac:dyDescent="0.2">
      <c r="A42" s="4">
        <v>46177</v>
      </c>
      <c r="B42" t="s">
        <v>116</v>
      </c>
      <c r="C42" t="s">
        <v>36</v>
      </c>
      <c r="D42">
        <v>49.3</v>
      </c>
      <c r="E42" t="s">
        <v>36</v>
      </c>
      <c r="F42">
        <v>-49.3</v>
      </c>
      <c r="H42">
        <v>0</v>
      </c>
      <c r="I42">
        <v>82365.350000000006</v>
      </c>
      <c r="J42" t="s">
        <v>38</v>
      </c>
      <c r="K42" t="s">
        <v>75</v>
      </c>
    </row>
    <row r="43" spans="1:11" x14ac:dyDescent="0.2">
      <c r="A43" s="4">
        <v>46177</v>
      </c>
      <c r="B43" t="s">
        <v>117</v>
      </c>
      <c r="C43" t="s">
        <v>36</v>
      </c>
      <c r="D43">
        <v>80</v>
      </c>
      <c r="E43" t="s">
        <v>36</v>
      </c>
      <c r="F43">
        <v>-80</v>
      </c>
      <c r="H43">
        <v>0</v>
      </c>
      <c r="I43">
        <v>82414.649999999994</v>
      </c>
      <c r="J43" t="s">
        <v>38</v>
      </c>
      <c r="K43" t="s">
        <v>75</v>
      </c>
    </row>
    <row r="44" spans="1:11" x14ac:dyDescent="0.2">
      <c r="A44" s="4">
        <v>46176</v>
      </c>
      <c r="B44" t="s">
        <v>118</v>
      </c>
      <c r="C44" t="s">
        <v>36</v>
      </c>
      <c r="D44">
        <v>5.8</v>
      </c>
      <c r="E44" t="s">
        <v>36</v>
      </c>
      <c r="F44">
        <v>-5.8</v>
      </c>
      <c r="H44">
        <v>0</v>
      </c>
      <c r="I44">
        <v>82494.649999999994</v>
      </c>
      <c r="J44" t="s">
        <v>38</v>
      </c>
      <c r="K44" t="s">
        <v>75</v>
      </c>
    </row>
    <row r="45" spans="1:11" x14ac:dyDescent="0.2">
      <c r="A45" s="4">
        <v>46176</v>
      </c>
      <c r="B45" t="s">
        <v>119</v>
      </c>
      <c r="C45" t="s">
        <v>36</v>
      </c>
      <c r="D45">
        <v>32.99</v>
      </c>
      <c r="E45" t="s">
        <v>36</v>
      </c>
      <c r="F45">
        <v>-32.99</v>
      </c>
      <c r="H45">
        <v>0</v>
      </c>
      <c r="I45">
        <v>82500.45</v>
      </c>
      <c r="J45" t="s">
        <v>38</v>
      </c>
      <c r="K45" t="s">
        <v>75</v>
      </c>
    </row>
    <row r="46" spans="1:11" x14ac:dyDescent="0.2">
      <c r="A46" s="10">
        <v>46176</v>
      </c>
      <c r="B46" s="11" t="s">
        <v>65</v>
      </c>
      <c r="C46" s="11" t="s">
        <v>36</v>
      </c>
      <c r="D46" s="11">
        <v>68861.820000000007</v>
      </c>
      <c r="E46" s="11" t="s">
        <v>37</v>
      </c>
      <c r="F46" s="11">
        <v>-79993.919999999998</v>
      </c>
      <c r="G46" s="11">
        <v>0.86083799999999999</v>
      </c>
      <c r="H46" s="11">
        <v>-413.17</v>
      </c>
      <c r="I46" s="11">
        <v>0</v>
      </c>
      <c r="J46" s="11" t="s">
        <v>66</v>
      </c>
      <c r="K46" s="11" t="s">
        <v>64</v>
      </c>
    </row>
    <row r="47" spans="1:11" x14ac:dyDescent="0.2">
      <c r="A47" s="10">
        <v>46176</v>
      </c>
      <c r="B47" s="11" t="s">
        <v>65</v>
      </c>
      <c r="C47" s="11" t="s">
        <v>37</v>
      </c>
      <c r="D47" s="11">
        <v>-79993.919999999998</v>
      </c>
      <c r="E47" s="11" t="s">
        <v>36</v>
      </c>
      <c r="F47" s="11">
        <v>68861.820000000007</v>
      </c>
      <c r="G47" s="11">
        <v>1.1616580000000001</v>
      </c>
      <c r="H47" s="11">
        <v>-413.17</v>
      </c>
      <c r="I47" s="11">
        <v>82533.440000000002</v>
      </c>
      <c r="J47" s="11" t="s">
        <v>38</v>
      </c>
      <c r="K47" s="11" t="s">
        <v>64</v>
      </c>
    </row>
    <row r="48" spans="1:11" x14ac:dyDescent="0.2">
      <c r="A48" s="4">
        <v>46171</v>
      </c>
      <c r="B48" t="s">
        <v>120</v>
      </c>
      <c r="C48" t="s">
        <v>36</v>
      </c>
      <c r="D48">
        <v>108</v>
      </c>
      <c r="E48" t="s">
        <v>36</v>
      </c>
      <c r="F48">
        <v>-108</v>
      </c>
      <c r="H48">
        <v>0</v>
      </c>
      <c r="I48">
        <v>14084.79</v>
      </c>
      <c r="J48" t="s">
        <v>38</v>
      </c>
      <c r="K48" t="s">
        <v>75</v>
      </c>
    </row>
    <row r="49" spans="1:11" x14ac:dyDescent="0.2">
      <c r="A49" s="4">
        <v>46170</v>
      </c>
      <c r="B49" t="s">
        <v>121</v>
      </c>
      <c r="C49" t="s">
        <v>36</v>
      </c>
      <c r="D49">
        <v>58.5</v>
      </c>
      <c r="E49" t="s">
        <v>36</v>
      </c>
      <c r="F49">
        <v>-58.5</v>
      </c>
      <c r="H49">
        <v>0</v>
      </c>
      <c r="I49">
        <v>14192.79</v>
      </c>
      <c r="J49" t="s">
        <v>38</v>
      </c>
      <c r="K49" t="s">
        <v>75</v>
      </c>
    </row>
    <row r="50" spans="1:11" x14ac:dyDescent="0.2">
      <c r="A50" s="4">
        <v>46168</v>
      </c>
      <c r="B50" t="s">
        <v>122</v>
      </c>
      <c r="C50" t="s">
        <v>36</v>
      </c>
      <c r="D50">
        <v>298.5</v>
      </c>
      <c r="E50" t="s">
        <v>36</v>
      </c>
      <c r="F50">
        <v>-298.5</v>
      </c>
      <c r="H50">
        <v>0</v>
      </c>
      <c r="I50">
        <v>14251.29</v>
      </c>
      <c r="J50" t="s">
        <v>38</v>
      </c>
      <c r="K50" t="s">
        <v>75</v>
      </c>
    </row>
    <row r="51" spans="1:11" x14ac:dyDescent="0.2">
      <c r="A51" s="4">
        <v>46169</v>
      </c>
      <c r="B51" t="s">
        <v>123</v>
      </c>
      <c r="C51" t="s">
        <v>36</v>
      </c>
      <c r="D51">
        <v>358</v>
      </c>
      <c r="E51" t="s">
        <v>36</v>
      </c>
      <c r="F51">
        <v>-358</v>
      </c>
      <c r="H51">
        <v>0</v>
      </c>
      <c r="I51">
        <v>14549.79</v>
      </c>
      <c r="J51" t="s">
        <v>38</v>
      </c>
      <c r="K51" t="s">
        <v>75</v>
      </c>
    </row>
    <row r="52" spans="1:11" x14ac:dyDescent="0.2">
      <c r="A52" s="4">
        <v>46168</v>
      </c>
      <c r="B52" t="s">
        <v>124</v>
      </c>
      <c r="C52" t="s">
        <v>36</v>
      </c>
      <c r="D52">
        <v>139.47999999999999</v>
      </c>
      <c r="E52" t="s">
        <v>36</v>
      </c>
      <c r="F52">
        <v>-139.47999999999999</v>
      </c>
      <c r="H52">
        <v>0</v>
      </c>
      <c r="I52">
        <v>14907.79</v>
      </c>
      <c r="J52" t="s">
        <v>38</v>
      </c>
      <c r="K52" t="s">
        <v>75</v>
      </c>
    </row>
    <row r="53" spans="1:11" x14ac:dyDescent="0.2">
      <c r="A53" s="4">
        <v>46166</v>
      </c>
      <c r="B53" t="s">
        <v>125</v>
      </c>
      <c r="C53" t="s">
        <v>36</v>
      </c>
      <c r="D53">
        <v>10</v>
      </c>
      <c r="E53" t="s">
        <v>36</v>
      </c>
      <c r="F53">
        <v>-10</v>
      </c>
      <c r="H53">
        <v>0</v>
      </c>
      <c r="I53">
        <v>15047.27</v>
      </c>
      <c r="J53" t="s">
        <v>38</v>
      </c>
      <c r="K53" t="s">
        <v>75</v>
      </c>
    </row>
    <row r="54" spans="1:11" x14ac:dyDescent="0.2">
      <c r="A54" s="4">
        <v>46167</v>
      </c>
      <c r="B54" t="s">
        <v>96</v>
      </c>
      <c r="C54" t="s">
        <v>36</v>
      </c>
      <c r="D54">
        <v>16.79</v>
      </c>
      <c r="E54" t="s">
        <v>36</v>
      </c>
      <c r="F54">
        <v>-16.79</v>
      </c>
      <c r="H54">
        <v>0</v>
      </c>
      <c r="I54">
        <v>15057.27</v>
      </c>
      <c r="J54" t="s">
        <v>38</v>
      </c>
      <c r="K54" t="s">
        <v>75</v>
      </c>
    </row>
    <row r="55" spans="1:11" x14ac:dyDescent="0.2">
      <c r="A55" s="10">
        <v>46167</v>
      </c>
      <c r="B55" s="11" t="s">
        <v>46</v>
      </c>
      <c r="C55" s="11" t="s">
        <v>36</v>
      </c>
      <c r="D55" s="11">
        <v>15007.98</v>
      </c>
      <c r="E55" s="11" t="s">
        <v>36</v>
      </c>
      <c r="F55" s="11">
        <v>15007.98</v>
      </c>
      <c r="G55" s="11"/>
      <c r="H55" s="11">
        <v>0</v>
      </c>
      <c r="I55" s="11">
        <v>15074.06</v>
      </c>
      <c r="J55" s="11" t="s">
        <v>38</v>
      </c>
      <c r="K55" s="28" t="s">
        <v>47</v>
      </c>
    </row>
    <row r="56" spans="1:11" x14ac:dyDescent="0.2">
      <c r="A56" s="4">
        <v>46166</v>
      </c>
      <c r="B56" t="s">
        <v>126</v>
      </c>
      <c r="C56" t="s">
        <v>36</v>
      </c>
      <c r="D56">
        <v>110</v>
      </c>
      <c r="E56" t="s">
        <v>36</v>
      </c>
      <c r="F56">
        <v>-110</v>
      </c>
      <c r="G56">
        <v>0.86194400000000004</v>
      </c>
      <c r="H56">
        <v>-2.0499999999999998</v>
      </c>
      <c r="I56">
        <v>79993.919999999998</v>
      </c>
      <c r="J56" t="s">
        <v>66</v>
      </c>
      <c r="K56" t="s">
        <v>75</v>
      </c>
    </row>
    <row r="57" spans="1:11" x14ac:dyDescent="0.2">
      <c r="A57" s="4">
        <v>46164</v>
      </c>
      <c r="B57" t="s">
        <v>127</v>
      </c>
      <c r="C57" t="s">
        <v>36</v>
      </c>
      <c r="D57">
        <v>70</v>
      </c>
      <c r="E57" t="s">
        <v>36</v>
      </c>
      <c r="F57">
        <v>-70</v>
      </c>
      <c r="H57">
        <v>0</v>
      </c>
      <c r="I57">
        <v>66.08</v>
      </c>
      <c r="J57" t="s">
        <v>38</v>
      </c>
      <c r="K57" t="s">
        <v>75</v>
      </c>
    </row>
    <row r="58" spans="1:11" x14ac:dyDescent="0.2">
      <c r="A58" s="10">
        <v>46164</v>
      </c>
      <c r="B58" s="11" t="s">
        <v>128</v>
      </c>
      <c r="C58" s="11" t="s">
        <v>36</v>
      </c>
      <c r="D58" s="11">
        <v>2000</v>
      </c>
      <c r="E58" s="11" t="s">
        <v>37</v>
      </c>
      <c r="F58" s="11">
        <v>-2321.0500000000002</v>
      </c>
      <c r="G58" s="11">
        <v>0.86168</v>
      </c>
      <c r="H58" s="11">
        <v>-13.93</v>
      </c>
      <c r="I58" s="11">
        <v>14365.91</v>
      </c>
      <c r="J58" s="11" t="s">
        <v>37</v>
      </c>
      <c r="K58" s="11" t="s">
        <v>129</v>
      </c>
    </row>
    <row r="59" spans="1:11" x14ac:dyDescent="0.2">
      <c r="A59" s="10">
        <v>46164</v>
      </c>
      <c r="B59" s="11" t="s">
        <v>130</v>
      </c>
      <c r="C59" s="11" t="s">
        <v>36</v>
      </c>
      <c r="D59" s="11">
        <v>42800</v>
      </c>
      <c r="E59" s="11" t="s">
        <v>36</v>
      </c>
      <c r="F59" s="11">
        <v>-42800</v>
      </c>
      <c r="G59" s="11"/>
      <c r="H59" s="11">
        <v>0</v>
      </c>
      <c r="I59" s="11">
        <v>136.08000000000001</v>
      </c>
      <c r="J59" s="11" t="s">
        <v>38</v>
      </c>
      <c r="K59" s="11" t="s">
        <v>131</v>
      </c>
    </row>
    <row r="60" spans="1:11" x14ac:dyDescent="0.2">
      <c r="A60" s="10">
        <v>46164</v>
      </c>
      <c r="B60" s="11" t="s">
        <v>35</v>
      </c>
      <c r="C60" s="11" t="s">
        <v>36</v>
      </c>
      <c r="D60" s="11">
        <v>43069.9</v>
      </c>
      <c r="E60" s="11" t="s">
        <v>37</v>
      </c>
      <c r="F60" s="11">
        <v>-50000</v>
      </c>
      <c r="G60" s="11">
        <v>0.861398</v>
      </c>
      <c r="H60" s="11">
        <v>-258.42</v>
      </c>
      <c r="I60" s="11">
        <v>16700.89</v>
      </c>
      <c r="J60" s="11" t="s">
        <v>37</v>
      </c>
      <c r="K60" s="11" t="s">
        <v>132</v>
      </c>
    </row>
    <row r="61" spans="1:11" x14ac:dyDescent="0.2">
      <c r="A61" s="10">
        <v>46164</v>
      </c>
      <c r="B61" s="11" t="s">
        <v>35</v>
      </c>
      <c r="C61" s="11" t="s">
        <v>37</v>
      </c>
      <c r="D61" s="11">
        <v>-50000</v>
      </c>
      <c r="E61" s="11" t="s">
        <v>36</v>
      </c>
      <c r="F61" s="11">
        <v>43069.9</v>
      </c>
      <c r="G61" s="11">
        <v>1.160903</v>
      </c>
      <c r="H61" s="11">
        <v>-258.42</v>
      </c>
      <c r="I61" s="11">
        <v>42936.08</v>
      </c>
      <c r="J61" s="11" t="s">
        <v>38</v>
      </c>
      <c r="K61" s="11" t="s">
        <v>132</v>
      </c>
    </row>
    <row r="62" spans="1:11" x14ac:dyDescent="0.2">
      <c r="A62" s="29">
        <v>46161</v>
      </c>
      <c r="B62" s="28" t="s">
        <v>44</v>
      </c>
      <c r="C62" s="28" t="s">
        <v>37</v>
      </c>
      <c r="D62" s="28">
        <v>16320</v>
      </c>
      <c r="E62" s="28" t="s">
        <v>37</v>
      </c>
      <c r="F62" s="28">
        <v>16320</v>
      </c>
      <c r="G62" s="28"/>
      <c r="H62" s="28">
        <v>0</v>
      </c>
      <c r="I62" s="28">
        <v>66700.89</v>
      </c>
      <c r="J62" s="28" t="s">
        <v>37</v>
      </c>
      <c r="K62" s="28" t="s">
        <v>47</v>
      </c>
    </row>
    <row r="63" spans="1:11" x14ac:dyDescent="0.2">
      <c r="A63" s="10">
        <v>46160</v>
      </c>
      <c r="B63" s="11" t="s">
        <v>130</v>
      </c>
      <c r="C63" s="11" t="s">
        <v>36</v>
      </c>
      <c r="D63" s="11">
        <v>29000</v>
      </c>
      <c r="E63" s="11" t="s">
        <v>36</v>
      </c>
      <c r="F63" s="11">
        <v>-29000</v>
      </c>
      <c r="G63" s="11"/>
      <c r="H63" s="11">
        <v>0</v>
      </c>
      <c r="I63" s="11">
        <v>124.6</v>
      </c>
      <c r="J63" s="11" t="s">
        <v>38</v>
      </c>
      <c r="K63" s="11" t="s">
        <v>131</v>
      </c>
    </row>
    <row r="64" spans="1:11" x14ac:dyDescent="0.2">
      <c r="A64" s="10">
        <v>46160</v>
      </c>
      <c r="B64" s="11" t="s">
        <v>35</v>
      </c>
      <c r="C64" s="11" t="s">
        <v>36</v>
      </c>
      <c r="D64" s="11">
        <v>29195.48</v>
      </c>
      <c r="E64" s="11" t="s">
        <v>37</v>
      </c>
      <c r="F64" s="11">
        <v>-34000</v>
      </c>
      <c r="G64" s="11">
        <v>0.85869099999999998</v>
      </c>
      <c r="H64" s="11">
        <v>-85.24</v>
      </c>
      <c r="I64" s="11">
        <v>50380.89</v>
      </c>
      <c r="J64" s="11" t="s">
        <v>37</v>
      </c>
      <c r="K64" s="11" t="s">
        <v>132</v>
      </c>
    </row>
    <row r="65" spans="1:11" x14ac:dyDescent="0.2">
      <c r="A65" s="10">
        <v>46160</v>
      </c>
      <c r="B65" s="11" t="s">
        <v>35</v>
      </c>
      <c r="C65" s="11" t="s">
        <v>37</v>
      </c>
      <c r="D65" s="11">
        <v>-34000</v>
      </c>
      <c r="E65" s="11" t="s">
        <v>36</v>
      </c>
      <c r="F65" s="11">
        <v>29195.48</v>
      </c>
      <c r="G65" s="11">
        <v>1.164563</v>
      </c>
      <c r="H65" s="11">
        <v>-85.24</v>
      </c>
      <c r="I65" s="11">
        <v>29124.6</v>
      </c>
      <c r="J65" s="11" t="s">
        <v>38</v>
      </c>
      <c r="K65" s="11" t="s">
        <v>132</v>
      </c>
    </row>
    <row r="66" spans="1:11" x14ac:dyDescent="0.2">
      <c r="A66" s="4">
        <v>46158</v>
      </c>
      <c r="B66" t="s">
        <v>133</v>
      </c>
      <c r="C66" t="s">
        <v>36</v>
      </c>
      <c r="D66">
        <v>11.6</v>
      </c>
      <c r="E66" t="s">
        <v>36</v>
      </c>
      <c r="F66">
        <v>-11.6</v>
      </c>
      <c r="G66">
        <v>0.86045499999999997</v>
      </c>
      <c r="H66">
        <v>-0.13</v>
      </c>
      <c r="I66">
        <v>84380.89</v>
      </c>
      <c r="J66" t="s">
        <v>37</v>
      </c>
      <c r="K66" t="s">
        <v>75</v>
      </c>
    </row>
    <row r="67" spans="1:11" x14ac:dyDescent="0.2">
      <c r="A67" s="4">
        <v>46158</v>
      </c>
      <c r="B67" t="s">
        <v>134</v>
      </c>
      <c r="C67" t="s">
        <v>36</v>
      </c>
      <c r="D67">
        <v>3.16</v>
      </c>
      <c r="E67" t="s">
        <v>36</v>
      </c>
      <c r="F67">
        <v>-3.16</v>
      </c>
      <c r="H67">
        <v>0</v>
      </c>
      <c r="I67">
        <v>14.36</v>
      </c>
      <c r="J67" t="s">
        <v>38</v>
      </c>
      <c r="K67" t="s">
        <v>75</v>
      </c>
    </row>
    <row r="68" spans="1:11" x14ac:dyDescent="0.2">
      <c r="A68" s="4">
        <v>46156</v>
      </c>
      <c r="B68" t="s">
        <v>135</v>
      </c>
      <c r="C68" t="s">
        <v>36</v>
      </c>
      <c r="D68">
        <v>70.349999999999994</v>
      </c>
      <c r="E68" t="s">
        <v>36</v>
      </c>
      <c r="F68">
        <v>-70.349999999999994</v>
      </c>
      <c r="H68">
        <v>0</v>
      </c>
      <c r="I68">
        <v>17.52</v>
      </c>
      <c r="J68" t="s">
        <v>38</v>
      </c>
      <c r="K68" t="s">
        <v>75</v>
      </c>
    </row>
    <row r="69" spans="1:11" x14ac:dyDescent="0.2">
      <c r="A69" s="4">
        <v>46156</v>
      </c>
      <c r="B69" t="s">
        <v>136</v>
      </c>
      <c r="C69" t="s">
        <v>36</v>
      </c>
      <c r="D69">
        <v>926.99</v>
      </c>
      <c r="E69" t="s">
        <v>36</v>
      </c>
      <c r="F69">
        <v>-926.99</v>
      </c>
      <c r="G69">
        <v>0.85361900000000002</v>
      </c>
      <c r="H69">
        <v>-6.51</v>
      </c>
      <c r="I69">
        <v>84394.51</v>
      </c>
      <c r="J69" t="s">
        <v>37</v>
      </c>
      <c r="K69" t="s">
        <v>75</v>
      </c>
    </row>
    <row r="70" spans="1:11" x14ac:dyDescent="0.2">
      <c r="A70" s="4">
        <v>46156</v>
      </c>
      <c r="B70" t="s">
        <v>104</v>
      </c>
      <c r="C70" t="s">
        <v>36</v>
      </c>
      <c r="D70">
        <v>35</v>
      </c>
      <c r="E70" t="s">
        <v>36</v>
      </c>
      <c r="F70">
        <v>-35</v>
      </c>
      <c r="H70">
        <v>0</v>
      </c>
      <c r="I70">
        <v>87.87</v>
      </c>
      <c r="J70" t="s">
        <v>38</v>
      </c>
      <c r="K70" t="s">
        <v>75</v>
      </c>
    </row>
    <row r="71" spans="1:11" x14ac:dyDescent="0.2">
      <c r="A71" s="4">
        <v>46152</v>
      </c>
      <c r="B71" t="s">
        <v>137</v>
      </c>
      <c r="C71" t="s">
        <v>36</v>
      </c>
      <c r="D71">
        <v>35.200000000000003</v>
      </c>
      <c r="E71" t="s">
        <v>36</v>
      </c>
      <c r="F71">
        <v>-35.200000000000003</v>
      </c>
      <c r="H71">
        <v>0</v>
      </c>
      <c r="I71">
        <v>122.87</v>
      </c>
      <c r="J71" t="s">
        <v>38</v>
      </c>
      <c r="K71" t="s">
        <v>75</v>
      </c>
    </row>
    <row r="72" spans="1:11" x14ac:dyDescent="0.2">
      <c r="A72" s="4">
        <v>46151</v>
      </c>
      <c r="B72" t="s">
        <v>138</v>
      </c>
      <c r="C72" t="s">
        <v>36</v>
      </c>
      <c r="D72">
        <v>81.2</v>
      </c>
      <c r="E72" t="s">
        <v>36</v>
      </c>
      <c r="F72">
        <v>-81.2</v>
      </c>
      <c r="H72">
        <v>0</v>
      </c>
      <c r="I72">
        <v>158.07</v>
      </c>
      <c r="J72" t="s">
        <v>38</v>
      </c>
      <c r="K72" t="s">
        <v>75</v>
      </c>
    </row>
    <row r="73" spans="1:11" x14ac:dyDescent="0.2">
      <c r="A73" s="4">
        <v>46151</v>
      </c>
      <c r="B73" t="s">
        <v>94</v>
      </c>
      <c r="C73" t="s">
        <v>36</v>
      </c>
      <c r="D73">
        <v>10.96</v>
      </c>
      <c r="E73" t="s">
        <v>36</v>
      </c>
      <c r="F73">
        <v>-10.96</v>
      </c>
      <c r="H73">
        <v>0</v>
      </c>
      <c r="I73">
        <v>239.27</v>
      </c>
      <c r="J73" t="s">
        <v>38</v>
      </c>
      <c r="K73" t="s">
        <v>75</v>
      </c>
    </row>
    <row r="74" spans="1:11" x14ac:dyDescent="0.2">
      <c r="A74" s="4">
        <v>46150</v>
      </c>
      <c r="B74" t="s">
        <v>139</v>
      </c>
      <c r="C74" t="s">
        <v>36</v>
      </c>
      <c r="D74">
        <v>17</v>
      </c>
      <c r="E74" t="s">
        <v>36</v>
      </c>
      <c r="F74">
        <v>-17</v>
      </c>
      <c r="H74">
        <v>0</v>
      </c>
      <c r="I74">
        <v>250.23</v>
      </c>
      <c r="J74" t="s">
        <v>38</v>
      </c>
      <c r="K74" t="s">
        <v>75</v>
      </c>
    </row>
    <row r="75" spans="1:11" x14ac:dyDescent="0.2">
      <c r="A75" s="4">
        <v>46151</v>
      </c>
      <c r="B75" t="s">
        <v>112</v>
      </c>
      <c r="C75" t="s">
        <v>37</v>
      </c>
      <c r="D75">
        <v>20</v>
      </c>
      <c r="E75" t="s">
        <v>36</v>
      </c>
      <c r="F75">
        <f>-D75/1.17</f>
        <v>-17.094017094017094</v>
      </c>
      <c r="H75">
        <v>0</v>
      </c>
      <c r="I75">
        <v>85486.98</v>
      </c>
      <c r="J75" t="s">
        <v>37</v>
      </c>
      <c r="K75" t="s">
        <v>75</v>
      </c>
    </row>
    <row r="76" spans="1:11" x14ac:dyDescent="0.2">
      <c r="A76" s="4">
        <v>46148</v>
      </c>
      <c r="B76" t="s">
        <v>140</v>
      </c>
      <c r="C76" t="s">
        <v>36</v>
      </c>
      <c r="D76">
        <v>55</v>
      </c>
      <c r="E76" t="s">
        <v>36</v>
      </c>
      <c r="F76">
        <v>-55</v>
      </c>
      <c r="H76">
        <v>0</v>
      </c>
      <c r="I76">
        <v>267.23</v>
      </c>
      <c r="J76" t="s">
        <v>38</v>
      </c>
      <c r="K76" t="s">
        <v>75</v>
      </c>
    </row>
    <row r="77" spans="1:11" x14ac:dyDescent="0.2">
      <c r="A77" s="10">
        <v>46148</v>
      </c>
      <c r="B77" s="11" t="s">
        <v>130</v>
      </c>
      <c r="C77" s="11" t="s">
        <v>36</v>
      </c>
      <c r="D77" s="11">
        <v>68000</v>
      </c>
      <c r="E77" s="11" t="s">
        <v>36</v>
      </c>
      <c r="F77" s="11">
        <v>-68000</v>
      </c>
      <c r="G77" s="11"/>
      <c r="H77" s="11">
        <v>0</v>
      </c>
      <c r="I77" s="11">
        <v>322.23</v>
      </c>
      <c r="J77" s="11" t="s">
        <v>38</v>
      </c>
      <c r="K77" s="11" t="s">
        <v>131</v>
      </c>
    </row>
    <row r="78" spans="1:11" x14ac:dyDescent="0.2">
      <c r="A78" s="10">
        <v>46148</v>
      </c>
      <c r="B78" s="11" t="s">
        <v>130</v>
      </c>
      <c r="C78" s="11" t="s">
        <v>36</v>
      </c>
      <c r="D78" s="11">
        <v>1</v>
      </c>
      <c r="E78" s="11" t="s">
        <v>36</v>
      </c>
      <c r="F78" s="11">
        <v>-1</v>
      </c>
      <c r="G78" s="11"/>
      <c r="H78" s="11">
        <v>0</v>
      </c>
      <c r="I78" s="11">
        <v>68322.23</v>
      </c>
      <c r="J78" s="11" t="s">
        <v>38</v>
      </c>
      <c r="K78" s="11" t="s">
        <v>131</v>
      </c>
    </row>
    <row r="79" spans="1:11" x14ac:dyDescent="0.2">
      <c r="A79" s="4">
        <v>46148</v>
      </c>
      <c r="B79" t="s">
        <v>115</v>
      </c>
      <c r="C79" t="s">
        <v>36</v>
      </c>
      <c r="D79">
        <v>39.99</v>
      </c>
      <c r="E79" t="s">
        <v>36</v>
      </c>
      <c r="F79">
        <v>-39.99</v>
      </c>
      <c r="H79">
        <v>0</v>
      </c>
      <c r="I79">
        <v>68323.23</v>
      </c>
      <c r="J79" t="s">
        <v>38</v>
      </c>
      <c r="K79" t="s">
        <v>75</v>
      </c>
    </row>
    <row r="80" spans="1:11" x14ac:dyDescent="0.2">
      <c r="A80" s="4">
        <v>46145</v>
      </c>
      <c r="B80" t="s">
        <v>94</v>
      </c>
      <c r="C80" t="s">
        <v>36</v>
      </c>
      <c r="D80">
        <v>51.83</v>
      </c>
      <c r="E80" t="s">
        <v>36</v>
      </c>
      <c r="F80">
        <v>-51.83</v>
      </c>
      <c r="H80">
        <v>0</v>
      </c>
      <c r="I80">
        <v>68363.22</v>
      </c>
      <c r="J80" t="s">
        <v>38</v>
      </c>
      <c r="K80" t="s">
        <v>75</v>
      </c>
    </row>
    <row r="81" spans="1:11" x14ac:dyDescent="0.2">
      <c r="A81" s="4">
        <v>46146</v>
      </c>
      <c r="B81" t="s">
        <v>141</v>
      </c>
      <c r="C81" t="s">
        <v>36</v>
      </c>
      <c r="D81">
        <v>2760.75</v>
      </c>
      <c r="E81" t="s">
        <v>36</v>
      </c>
      <c r="F81">
        <v>-2760.75</v>
      </c>
      <c r="H81">
        <v>0</v>
      </c>
      <c r="I81">
        <v>68415.05</v>
      </c>
      <c r="J81" t="s">
        <v>38</v>
      </c>
      <c r="K81" t="s">
        <v>75</v>
      </c>
    </row>
    <row r="82" spans="1:11" x14ac:dyDescent="0.2">
      <c r="A82" s="4">
        <v>46145</v>
      </c>
      <c r="B82" t="s">
        <v>142</v>
      </c>
      <c r="C82" t="s">
        <v>36</v>
      </c>
      <c r="D82">
        <v>28.2</v>
      </c>
      <c r="E82" t="s">
        <v>36</v>
      </c>
      <c r="F82">
        <v>-28.2</v>
      </c>
      <c r="H82">
        <v>0</v>
      </c>
      <c r="I82">
        <v>71175.8</v>
      </c>
      <c r="J82" t="s">
        <v>38</v>
      </c>
      <c r="K82" t="s">
        <v>75</v>
      </c>
    </row>
    <row r="83" spans="1:11" x14ac:dyDescent="0.2">
      <c r="A83" s="4">
        <v>46145</v>
      </c>
      <c r="B83" t="s">
        <v>94</v>
      </c>
      <c r="C83" t="s">
        <v>36</v>
      </c>
      <c r="D83">
        <v>24.34</v>
      </c>
      <c r="E83" t="s">
        <v>36</v>
      </c>
      <c r="F83">
        <v>-24.34</v>
      </c>
      <c r="H83">
        <v>0</v>
      </c>
      <c r="I83">
        <v>71204</v>
      </c>
      <c r="J83" t="s">
        <v>38</v>
      </c>
      <c r="K83" t="s">
        <v>75</v>
      </c>
    </row>
    <row r="84" spans="1:11" x14ac:dyDescent="0.2">
      <c r="A84" s="4">
        <v>46145</v>
      </c>
      <c r="B84" t="s">
        <v>94</v>
      </c>
      <c r="C84" t="s">
        <v>36</v>
      </c>
      <c r="D84">
        <v>22.37</v>
      </c>
      <c r="E84" t="s">
        <v>36</v>
      </c>
      <c r="F84">
        <v>-22.37</v>
      </c>
      <c r="H84">
        <v>0</v>
      </c>
      <c r="I84">
        <v>71228.34</v>
      </c>
      <c r="J84" t="s">
        <v>38</v>
      </c>
      <c r="K84" t="s">
        <v>75</v>
      </c>
    </row>
    <row r="85" spans="1:11" x14ac:dyDescent="0.2">
      <c r="A85" s="4">
        <v>46144</v>
      </c>
      <c r="B85" t="s">
        <v>94</v>
      </c>
      <c r="C85" t="s">
        <v>36</v>
      </c>
      <c r="D85">
        <v>11.45</v>
      </c>
      <c r="E85" t="s">
        <v>36</v>
      </c>
      <c r="F85">
        <v>-11.45</v>
      </c>
      <c r="H85">
        <v>0</v>
      </c>
      <c r="I85">
        <v>71250.710000000006</v>
      </c>
      <c r="J85" t="s">
        <v>38</v>
      </c>
      <c r="K85" t="s">
        <v>75</v>
      </c>
    </row>
    <row r="86" spans="1:11" x14ac:dyDescent="0.2">
      <c r="A86" s="4">
        <v>46144</v>
      </c>
      <c r="B86" t="s">
        <v>143</v>
      </c>
      <c r="C86" t="s">
        <v>36</v>
      </c>
      <c r="D86">
        <v>31.2</v>
      </c>
      <c r="E86" t="s">
        <v>36</v>
      </c>
      <c r="F86">
        <v>-31.2</v>
      </c>
      <c r="H86">
        <v>0</v>
      </c>
      <c r="I86">
        <v>71262.16</v>
      </c>
      <c r="J86" t="s">
        <v>38</v>
      </c>
      <c r="K86" t="s">
        <v>75</v>
      </c>
    </row>
    <row r="87" spans="1:11" x14ac:dyDescent="0.2">
      <c r="A87" s="4">
        <v>46143</v>
      </c>
      <c r="B87" t="s">
        <v>144</v>
      </c>
      <c r="C87" t="s">
        <v>36</v>
      </c>
      <c r="D87">
        <v>400</v>
      </c>
      <c r="E87" t="s">
        <v>36</v>
      </c>
      <c r="F87">
        <v>-400</v>
      </c>
      <c r="H87">
        <v>0</v>
      </c>
      <c r="I87">
        <v>71293.36</v>
      </c>
      <c r="J87" t="s">
        <v>38</v>
      </c>
      <c r="K87" t="s">
        <v>75</v>
      </c>
    </row>
    <row r="88" spans="1:11" x14ac:dyDescent="0.2">
      <c r="A88" s="4">
        <v>46143</v>
      </c>
      <c r="B88" t="s">
        <v>94</v>
      </c>
      <c r="C88" t="s">
        <v>36</v>
      </c>
      <c r="D88">
        <v>22.98</v>
      </c>
      <c r="E88" t="s">
        <v>36</v>
      </c>
      <c r="F88">
        <v>-22.98</v>
      </c>
      <c r="H88">
        <v>0</v>
      </c>
      <c r="I88">
        <v>71693.36</v>
      </c>
      <c r="J88" t="s">
        <v>38</v>
      </c>
      <c r="K88" t="s">
        <v>75</v>
      </c>
    </row>
    <row r="89" spans="1:11" x14ac:dyDescent="0.2">
      <c r="A89" s="4">
        <v>46144</v>
      </c>
      <c r="B89" t="s">
        <v>94</v>
      </c>
      <c r="C89" t="s">
        <v>36</v>
      </c>
      <c r="D89">
        <v>24.95</v>
      </c>
      <c r="E89" t="s">
        <v>36</v>
      </c>
      <c r="F89">
        <v>-24.95</v>
      </c>
      <c r="H89">
        <v>0</v>
      </c>
      <c r="I89">
        <v>71716.34</v>
      </c>
      <c r="J89" t="s">
        <v>38</v>
      </c>
      <c r="K89" t="s">
        <v>75</v>
      </c>
    </row>
    <row r="90" spans="1:11" x14ac:dyDescent="0.2">
      <c r="A90" s="4">
        <v>46144</v>
      </c>
      <c r="B90" t="s">
        <v>145</v>
      </c>
      <c r="C90" t="s">
        <v>36</v>
      </c>
      <c r="D90">
        <v>48</v>
      </c>
      <c r="E90" t="s">
        <v>36</v>
      </c>
      <c r="F90">
        <v>-48</v>
      </c>
      <c r="H90">
        <v>0</v>
      </c>
      <c r="I90">
        <v>71741.289999999994</v>
      </c>
      <c r="J90" t="s">
        <v>38</v>
      </c>
      <c r="K90" t="s">
        <v>75</v>
      </c>
    </row>
    <row r="91" spans="1:11" x14ac:dyDescent="0.2">
      <c r="A91" s="4">
        <v>46142</v>
      </c>
      <c r="B91" t="s">
        <v>146</v>
      </c>
      <c r="C91" t="s">
        <v>36</v>
      </c>
      <c r="D91">
        <v>4.9400000000000004</v>
      </c>
      <c r="E91" t="s">
        <v>36</v>
      </c>
      <c r="F91">
        <v>-4.9400000000000004</v>
      </c>
      <c r="H91">
        <v>0</v>
      </c>
      <c r="I91">
        <v>71789.289999999994</v>
      </c>
      <c r="J91" t="s">
        <v>38</v>
      </c>
      <c r="K91" t="s">
        <v>75</v>
      </c>
    </row>
    <row r="92" spans="1:11" x14ac:dyDescent="0.2">
      <c r="A92" s="4">
        <v>46143</v>
      </c>
      <c r="B92" t="s">
        <v>94</v>
      </c>
      <c r="C92" t="s">
        <v>36</v>
      </c>
      <c r="D92">
        <v>5.98</v>
      </c>
      <c r="E92" t="s">
        <v>36</v>
      </c>
      <c r="F92">
        <v>-5.98</v>
      </c>
      <c r="H92">
        <v>0</v>
      </c>
      <c r="I92">
        <v>71794.23</v>
      </c>
      <c r="J92" t="s">
        <v>38</v>
      </c>
      <c r="K92" t="s">
        <v>75</v>
      </c>
    </row>
    <row r="93" spans="1:11" x14ac:dyDescent="0.2">
      <c r="A93" s="4">
        <v>46142</v>
      </c>
      <c r="B93" t="s">
        <v>94</v>
      </c>
      <c r="C93" t="s">
        <v>36</v>
      </c>
      <c r="D93">
        <v>19.940000000000001</v>
      </c>
      <c r="E93" t="s">
        <v>36</v>
      </c>
      <c r="F93">
        <v>-19.940000000000001</v>
      </c>
      <c r="H93">
        <v>0</v>
      </c>
      <c r="I93">
        <v>71800.210000000006</v>
      </c>
      <c r="J93" t="s">
        <v>38</v>
      </c>
      <c r="K93" t="s">
        <v>75</v>
      </c>
    </row>
    <row r="94" spans="1:11" x14ac:dyDescent="0.2">
      <c r="A94" s="4">
        <v>46142</v>
      </c>
      <c r="B94" t="s">
        <v>94</v>
      </c>
      <c r="C94" t="s">
        <v>36</v>
      </c>
      <c r="D94">
        <v>6.98</v>
      </c>
      <c r="E94" t="s">
        <v>36</v>
      </c>
      <c r="F94">
        <v>-6.98</v>
      </c>
      <c r="H94">
        <v>0</v>
      </c>
      <c r="I94">
        <v>71820.149999999994</v>
      </c>
      <c r="J94" t="s">
        <v>38</v>
      </c>
      <c r="K94" t="s">
        <v>75</v>
      </c>
    </row>
    <row r="95" spans="1:11" x14ac:dyDescent="0.2">
      <c r="A95" s="4">
        <v>46141</v>
      </c>
      <c r="B95" t="s">
        <v>94</v>
      </c>
      <c r="C95" t="s">
        <v>36</v>
      </c>
      <c r="D95">
        <v>14.05</v>
      </c>
      <c r="E95" t="s">
        <v>36</v>
      </c>
      <c r="F95">
        <v>-14.05</v>
      </c>
      <c r="H95">
        <v>0</v>
      </c>
      <c r="I95">
        <v>71827.13</v>
      </c>
      <c r="J95" t="s">
        <v>38</v>
      </c>
      <c r="K95" t="s">
        <v>75</v>
      </c>
    </row>
    <row r="96" spans="1:11" x14ac:dyDescent="0.2">
      <c r="A96" s="4">
        <v>46141</v>
      </c>
      <c r="B96" t="s">
        <v>147</v>
      </c>
      <c r="C96" t="s">
        <v>36</v>
      </c>
      <c r="D96">
        <v>31.5</v>
      </c>
      <c r="E96" t="s">
        <v>36</v>
      </c>
      <c r="F96">
        <v>-31.5</v>
      </c>
      <c r="H96">
        <v>0</v>
      </c>
      <c r="I96">
        <v>71841.179999999993</v>
      </c>
      <c r="J96" t="s">
        <v>38</v>
      </c>
      <c r="K96" t="s">
        <v>75</v>
      </c>
    </row>
    <row r="97" spans="1:11" x14ac:dyDescent="0.2">
      <c r="A97" s="4">
        <v>46142</v>
      </c>
      <c r="B97" t="s">
        <v>148</v>
      </c>
      <c r="C97" t="s">
        <v>36</v>
      </c>
      <c r="D97">
        <v>142.41999999999999</v>
      </c>
      <c r="E97" t="s">
        <v>36</v>
      </c>
      <c r="F97">
        <v>-142.41999999999999</v>
      </c>
      <c r="H97">
        <v>0</v>
      </c>
      <c r="I97">
        <v>71872.679999999993</v>
      </c>
      <c r="J97" t="s">
        <v>38</v>
      </c>
      <c r="K97" t="s">
        <v>75</v>
      </c>
    </row>
    <row r="98" spans="1:11" x14ac:dyDescent="0.2">
      <c r="A98" s="4">
        <v>46142</v>
      </c>
      <c r="B98" t="s">
        <v>149</v>
      </c>
      <c r="C98" t="s">
        <v>36</v>
      </c>
      <c r="D98">
        <v>108</v>
      </c>
      <c r="E98" t="s">
        <v>36</v>
      </c>
      <c r="F98">
        <v>-108</v>
      </c>
      <c r="H98">
        <v>0</v>
      </c>
      <c r="I98">
        <v>72015.100000000006</v>
      </c>
      <c r="J98" t="s">
        <v>38</v>
      </c>
      <c r="K98" t="s">
        <v>75</v>
      </c>
    </row>
    <row r="99" spans="1:11" x14ac:dyDescent="0.2">
      <c r="A99" s="4">
        <v>46141</v>
      </c>
      <c r="B99" t="s">
        <v>150</v>
      </c>
      <c r="C99" t="s">
        <v>36</v>
      </c>
      <c r="D99">
        <v>21.4</v>
      </c>
      <c r="E99" t="s">
        <v>36</v>
      </c>
      <c r="F99">
        <v>-21.4</v>
      </c>
      <c r="H99">
        <v>0</v>
      </c>
      <c r="I99">
        <v>72123.100000000006</v>
      </c>
      <c r="J99" t="s">
        <v>38</v>
      </c>
      <c r="K99" t="s">
        <v>75</v>
      </c>
    </row>
    <row r="100" spans="1:11" x14ac:dyDescent="0.2">
      <c r="A100" s="4">
        <v>46141</v>
      </c>
      <c r="B100" t="s">
        <v>94</v>
      </c>
      <c r="C100" t="s">
        <v>36</v>
      </c>
      <c r="D100">
        <v>32.94</v>
      </c>
      <c r="E100" t="s">
        <v>36</v>
      </c>
      <c r="F100">
        <v>-32.94</v>
      </c>
      <c r="H100">
        <v>0</v>
      </c>
      <c r="I100">
        <v>72144.5</v>
      </c>
      <c r="J100" t="s">
        <v>38</v>
      </c>
      <c r="K100" t="s">
        <v>75</v>
      </c>
    </row>
    <row r="101" spans="1:11" x14ac:dyDescent="0.2">
      <c r="A101" s="4">
        <v>46141</v>
      </c>
      <c r="B101" t="s">
        <v>120</v>
      </c>
      <c r="C101" t="s">
        <v>36</v>
      </c>
      <c r="D101">
        <v>108</v>
      </c>
      <c r="E101" t="s">
        <v>36</v>
      </c>
      <c r="F101">
        <v>-108</v>
      </c>
      <c r="H101">
        <v>0</v>
      </c>
      <c r="I101">
        <v>72177.440000000002</v>
      </c>
      <c r="J101" t="s">
        <v>38</v>
      </c>
      <c r="K101" t="s">
        <v>75</v>
      </c>
    </row>
    <row r="102" spans="1:11" x14ac:dyDescent="0.2">
      <c r="A102" s="4">
        <v>46139</v>
      </c>
      <c r="B102" t="s">
        <v>151</v>
      </c>
      <c r="C102" t="s">
        <v>36</v>
      </c>
      <c r="D102">
        <v>174.66</v>
      </c>
      <c r="E102" t="s">
        <v>36</v>
      </c>
      <c r="F102">
        <v>-174.66</v>
      </c>
      <c r="H102">
        <v>0</v>
      </c>
      <c r="I102">
        <v>72285.440000000002</v>
      </c>
      <c r="J102" t="s">
        <v>38</v>
      </c>
      <c r="K102" t="s">
        <v>75</v>
      </c>
    </row>
    <row r="103" spans="1:11" x14ac:dyDescent="0.2">
      <c r="A103" s="4">
        <v>46137</v>
      </c>
      <c r="B103" t="s">
        <v>146</v>
      </c>
      <c r="C103" t="s">
        <v>36</v>
      </c>
      <c r="D103">
        <v>2.35</v>
      </c>
      <c r="E103" t="s">
        <v>36</v>
      </c>
      <c r="F103">
        <v>-2.35</v>
      </c>
      <c r="H103">
        <v>0</v>
      </c>
      <c r="I103">
        <v>72460.100000000006</v>
      </c>
      <c r="J103" t="s">
        <v>38</v>
      </c>
      <c r="K103" t="s">
        <v>75</v>
      </c>
    </row>
    <row r="104" spans="1:11" x14ac:dyDescent="0.2">
      <c r="A104" s="4">
        <v>46138</v>
      </c>
      <c r="B104" t="s">
        <v>152</v>
      </c>
      <c r="C104" t="s">
        <v>36</v>
      </c>
      <c r="D104">
        <v>90</v>
      </c>
      <c r="E104" t="s">
        <v>36</v>
      </c>
      <c r="F104">
        <v>-90</v>
      </c>
      <c r="H104">
        <v>0</v>
      </c>
      <c r="I104">
        <v>72462.45</v>
      </c>
      <c r="J104" t="s">
        <v>38</v>
      </c>
      <c r="K104" t="s">
        <v>75</v>
      </c>
    </row>
    <row r="105" spans="1:11" x14ac:dyDescent="0.2">
      <c r="A105" s="4">
        <v>46137</v>
      </c>
      <c r="B105" t="s">
        <v>152</v>
      </c>
      <c r="C105" t="s">
        <v>36</v>
      </c>
      <c r="D105">
        <v>91</v>
      </c>
      <c r="E105" t="s">
        <v>36</v>
      </c>
      <c r="F105">
        <v>-91</v>
      </c>
      <c r="H105">
        <v>0</v>
      </c>
      <c r="I105">
        <v>72552.45</v>
      </c>
      <c r="J105" t="s">
        <v>38</v>
      </c>
      <c r="K105" t="s">
        <v>75</v>
      </c>
    </row>
    <row r="106" spans="1:11" x14ac:dyDescent="0.2">
      <c r="A106" s="4">
        <v>46136</v>
      </c>
      <c r="B106" t="s">
        <v>153</v>
      </c>
      <c r="C106" t="s">
        <v>36</v>
      </c>
      <c r="D106">
        <v>21</v>
      </c>
      <c r="E106" t="s">
        <v>36</v>
      </c>
      <c r="F106">
        <v>-21</v>
      </c>
      <c r="H106">
        <v>0</v>
      </c>
      <c r="I106">
        <v>72643.45</v>
      </c>
      <c r="J106" t="s">
        <v>38</v>
      </c>
      <c r="K106" t="s">
        <v>75</v>
      </c>
    </row>
    <row r="107" spans="1:11" x14ac:dyDescent="0.2">
      <c r="A107" s="4">
        <v>46137</v>
      </c>
      <c r="B107" t="s">
        <v>96</v>
      </c>
      <c r="C107" t="s">
        <v>36</v>
      </c>
      <c r="D107">
        <v>16.79</v>
      </c>
      <c r="E107" t="s">
        <v>36</v>
      </c>
      <c r="F107">
        <v>-16.79</v>
      </c>
      <c r="H107">
        <v>0</v>
      </c>
      <c r="I107">
        <v>72664.45</v>
      </c>
      <c r="J107" t="s">
        <v>38</v>
      </c>
      <c r="K107" t="s">
        <v>75</v>
      </c>
    </row>
    <row r="108" spans="1:11" x14ac:dyDescent="0.2">
      <c r="A108" s="4">
        <v>46136</v>
      </c>
      <c r="B108" t="s">
        <v>154</v>
      </c>
      <c r="C108" t="s">
        <v>36</v>
      </c>
      <c r="D108">
        <v>17</v>
      </c>
      <c r="E108" t="s">
        <v>36</v>
      </c>
      <c r="F108">
        <v>-17</v>
      </c>
      <c r="H108">
        <v>0</v>
      </c>
      <c r="I108">
        <v>72681.240000000005</v>
      </c>
      <c r="J108" t="s">
        <v>38</v>
      </c>
      <c r="K108" t="s">
        <v>75</v>
      </c>
    </row>
    <row r="109" spans="1:11" x14ac:dyDescent="0.2">
      <c r="A109" s="4">
        <v>46134</v>
      </c>
      <c r="B109" t="s">
        <v>155</v>
      </c>
      <c r="C109" t="s">
        <v>36</v>
      </c>
      <c r="D109">
        <v>55.6</v>
      </c>
      <c r="E109" t="s">
        <v>36</v>
      </c>
      <c r="F109">
        <v>-55.6</v>
      </c>
      <c r="H109">
        <v>0</v>
      </c>
      <c r="I109">
        <v>72698.240000000005</v>
      </c>
      <c r="J109" t="s">
        <v>38</v>
      </c>
      <c r="K109" t="s">
        <v>75</v>
      </c>
    </row>
    <row r="110" spans="1:11" x14ac:dyDescent="0.2">
      <c r="A110" s="4">
        <v>46133</v>
      </c>
      <c r="B110" t="s">
        <v>156</v>
      </c>
      <c r="C110" t="s">
        <v>36</v>
      </c>
      <c r="D110">
        <v>40</v>
      </c>
      <c r="E110" t="s">
        <v>36</v>
      </c>
      <c r="F110">
        <v>-40</v>
      </c>
      <c r="H110">
        <v>0</v>
      </c>
      <c r="I110">
        <v>72753.84</v>
      </c>
      <c r="J110" t="s">
        <v>38</v>
      </c>
      <c r="K110" t="s">
        <v>75</v>
      </c>
    </row>
    <row r="111" spans="1:11" x14ac:dyDescent="0.2">
      <c r="A111" s="4">
        <v>46133</v>
      </c>
      <c r="B111" t="s">
        <v>113</v>
      </c>
      <c r="C111" t="s">
        <v>36</v>
      </c>
      <c r="D111">
        <v>35.03</v>
      </c>
      <c r="E111" t="s">
        <v>36</v>
      </c>
      <c r="F111">
        <v>-35.03</v>
      </c>
      <c r="H111">
        <v>0</v>
      </c>
      <c r="I111">
        <v>72793.84</v>
      </c>
      <c r="J111" t="s">
        <v>38</v>
      </c>
      <c r="K111" t="s">
        <v>75</v>
      </c>
    </row>
    <row r="112" spans="1:11" x14ac:dyDescent="0.2">
      <c r="A112" s="4">
        <v>46133</v>
      </c>
      <c r="B112" t="s">
        <v>91</v>
      </c>
      <c r="C112" t="s">
        <v>37</v>
      </c>
      <c r="D112">
        <v>13.02</v>
      </c>
      <c r="E112" t="s">
        <v>36</v>
      </c>
      <c r="F112">
        <f>-D112/1.17</f>
        <v>-11.128205128205128</v>
      </c>
      <c r="H112">
        <v>0</v>
      </c>
      <c r="I112">
        <v>85506.98</v>
      </c>
      <c r="J112" t="s">
        <v>37</v>
      </c>
      <c r="K112" t="s">
        <v>75</v>
      </c>
    </row>
    <row r="113" spans="1:11" x14ac:dyDescent="0.2">
      <c r="A113" s="4">
        <v>46132</v>
      </c>
      <c r="B113" t="s">
        <v>157</v>
      </c>
      <c r="C113" t="s">
        <v>36</v>
      </c>
      <c r="D113">
        <v>11.5</v>
      </c>
      <c r="E113" t="s">
        <v>36</v>
      </c>
      <c r="F113">
        <v>-11.5</v>
      </c>
      <c r="H113">
        <v>0</v>
      </c>
      <c r="I113">
        <v>72828.87</v>
      </c>
      <c r="J113" t="s">
        <v>38</v>
      </c>
      <c r="K113" t="s">
        <v>75</v>
      </c>
    </row>
    <row r="114" spans="1:11" x14ac:dyDescent="0.2">
      <c r="A114" s="4">
        <v>46132</v>
      </c>
      <c r="B114" t="s">
        <v>158</v>
      </c>
      <c r="C114" t="s">
        <v>36</v>
      </c>
      <c r="D114">
        <v>3.9</v>
      </c>
      <c r="E114" t="s">
        <v>36</v>
      </c>
      <c r="F114">
        <v>-3.9</v>
      </c>
      <c r="H114">
        <v>0</v>
      </c>
      <c r="I114">
        <v>72840.37</v>
      </c>
      <c r="J114" t="s">
        <v>38</v>
      </c>
      <c r="K114" t="s">
        <v>75</v>
      </c>
    </row>
    <row r="115" spans="1:11" x14ac:dyDescent="0.2">
      <c r="A115" s="29">
        <v>46132</v>
      </c>
      <c r="B115" s="28" t="s">
        <v>41</v>
      </c>
      <c r="C115" s="28" t="s">
        <v>36</v>
      </c>
      <c r="D115" s="28">
        <v>15219.42</v>
      </c>
      <c r="E115" s="28" t="s">
        <v>42</v>
      </c>
      <c r="F115" s="28">
        <v>-24480</v>
      </c>
      <c r="G115" s="28">
        <v>0.62170800000000004</v>
      </c>
      <c r="H115" s="28">
        <v>-1.32</v>
      </c>
      <c r="I115" s="28">
        <v>0</v>
      </c>
      <c r="J115" s="28" t="s">
        <v>43</v>
      </c>
      <c r="K115" s="11" t="s">
        <v>97</v>
      </c>
    </row>
    <row r="116" spans="1:11" x14ac:dyDescent="0.2">
      <c r="A116" s="29">
        <v>46132</v>
      </c>
      <c r="B116" s="28" t="s">
        <v>41</v>
      </c>
      <c r="C116" s="28" t="s">
        <v>42</v>
      </c>
      <c r="D116" s="28">
        <v>-24480</v>
      </c>
      <c r="E116" s="28" t="s">
        <v>36</v>
      </c>
      <c r="F116" s="28">
        <v>15219.42</v>
      </c>
      <c r="G116" s="28">
        <v>1.608471</v>
      </c>
      <c r="H116" s="28">
        <v>-1.32</v>
      </c>
      <c r="I116" s="28">
        <v>72844.27</v>
      </c>
      <c r="J116" s="28" t="s">
        <v>38</v>
      </c>
      <c r="K116" s="11" t="s">
        <v>97</v>
      </c>
    </row>
    <row r="117" spans="1:11" x14ac:dyDescent="0.2">
      <c r="A117" s="29">
        <v>46132</v>
      </c>
      <c r="B117" s="28" t="s">
        <v>44</v>
      </c>
      <c r="C117" s="28" t="s">
        <v>37</v>
      </c>
      <c r="D117" s="28">
        <v>17280</v>
      </c>
      <c r="E117" s="28" t="s">
        <v>37</v>
      </c>
      <c r="F117" s="28">
        <v>17280</v>
      </c>
      <c r="G117" s="28"/>
      <c r="H117" s="28">
        <v>0</v>
      </c>
      <c r="I117" s="28">
        <v>85520</v>
      </c>
      <c r="J117" s="28" t="s">
        <v>37</v>
      </c>
      <c r="K117" s="28" t="s">
        <v>159</v>
      </c>
    </row>
    <row r="118" spans="1:11" x14ac:dyDescent="0.2">
      <c r="A118" s="29">
        <v>46132</v>
      </c>
      <c r="B118" s="28" t="s">
        <v>46</v>
      </c>
      <c r="C118" s="28" t="s">
        <v>42</v>
      </c>
      <c r="D118" s="28">
        <v>24480</v>
      </c>
      <c r="E118" s="28" t="s">
        <v>42</v>
      </c>
      <c r="F118" s="28">
        <v>24480</v>
      </c>
      <c r="G118" s="28"/>
      <c r="H118" s="28">
        <v>0</v>
      </c>
      <c r="I118" s="28">
        <v>24480</v>
      </c>
      <c r="J118" s="28" t="s">
        <v>43</v>
      </c>
      <c r="K118" s="28" t="s">
        <v>160</v>
      </c>
    </row>
    <row r="119" spans="1:11" x14ac:dyDescent="0.2">
      <c r="A119" s="4">
        <v>46131</v>
      </c>
      <c r="B119" t="s">
        <v>161</v>
      </c>
      <c r="C119" t="s">
        <v>36</v>
      </c>
      <c r="D119">
        <v>22.5</v>
      </c>
      <c r="E119" t="s">
        <v>36</v>
      </c>
      <c r="F119">
        <v>-22.5</v>
      </c>
      <c r="H119">
        <v>0</v>
      </c>
      <c r="I119">
        <v>57626.17</v>
      </c>
      <c r="J119" t="s">
        <v>38</v>
      </c>
      <c r="K119" t="s">
        <v>75</v>
      </c>
    </row>
    <row r="120" spans="1:11" x14ac:dyDescent="0.2">
      <c r="A120" s="4">
        <v>46131</v>
      </c>
      <c r="B120" t="s">
        <v>162</v>
      </c>
      <c r="C120" t="s">
        <v>36</v>
      </c>
      <c r="D120">
        <v>9.1999999999999993</v>
      </c>
      <c r="E120" t="s">
        <v>36</v>
      </c>
      <c r="F120">
        <v>-9.1999999999999993</v>
      </c>
      <c r="H120">
        <v>0</v>
      </c>
      <c r="I120">
        <v>57648.67</v>
      </c>
      <c r="J120" t="s">
        <v>38</v>
      </c>
      <c r="K120" t="s">
        <v>75</v>
      </c>
    </row>
    <row r="121" spans="1:11" x14ac:dyDescent="0.2">
      <c r="A121" s="4">
        <v>46131</v>
      </c>
      <c r="B121" t="s">
        <v>163</v>
      </c>
      <c r="C121" t="s">
        <v>36</v>
      </c>
      <c r="D121">
        <v>50.48</v>
      </c>
      <c r="E121" t="s">
        <v>36</v>
      </c>
      <c r="F121">
        <v>-50.48</v>
      </c>
      <c r="H121">
        <v>0</v>
      </c>
      <c r="I121">
        <v>57657.87</v>
      </c>
      <c r="J121" t="s">
        <v>38</v>
      </c>
      <c r="K121" t="s">
        <v>75</v>
      </c>
    </row>
    <row r="122" spans="1:11" x14ac:dyDescent="0.2">
      <c r="A122" s="4">
        <v>46129</v>
      </c>
      <c r="B122" t="s">
        <v>164</v>
      </c>
      <c r="C122" t="s">
        <v>36</v>
      </c>
      <c r="D122">
        <v>83</v>
      </c>
      <c r="E122" t="s">
        <v>36</v>
      </c>
      <c r="F122">
        <v>-83</v>
      </c>
      <c r="H122">
        <v>0</v>
      </c>
      <c r="I122">
        <v>57708.35</v>
      </c>
      <c r="J122" t="s">
        <v>38</v>
      </c>
      <c r="K122" t="s">
        <v>75</v>
      </c>
    </row>
    <row r="123" spans="1:11" x14ac:dyDescent="0.2">
      <c r="A123" s="4">
        <v>46128</v>
      </c>
      <c r="B123" t="s">
        <v>162</v>
      </c>
      <c r="C123" t="s">
        <v>36</v>
      </c>
      <c r="D123">
        <v>12</v>
      </c>
      <c r="E123" t="s">
        <v>36</v>
      </c>
      <c r="F123">
        <v>-12</v>
      </c>
      <c r="H123">
        <v>0</v>
      </c>
      <c r="I123">
        <v>57791.35</v>
      </c>
      <c r="J123" t="s">
        <v>38</v>
      </c>
      <c r="K123" t="s">
        <v>75</v>
      </c>
    </row>
    <row r="124" spans="1:11" x14ac:dyDescent="0.2">
      <c r="A124" s="4">
        <v>46125</v>
      </c>
      <c r="B124" t="s">
        <v>165</v>
      </c>
      <c r="C124" t="s">
        <v>36</v>
      </c>
      <c r="D124">
        <v>133</v>
      </c>
      <c r="E124" t="s">
        <v>36</v>
      </c>
      <c r="F124">
        <v>-133</v>
      </c>
      <c r="H124">
        <v>0</v>
      </c>
      <c r="I124">
        <v>57803.35</v>
      </c>
      <c r="J124" t="s">
        <v>38</v>
      </c>
      <c r="K124" t="s">
        <v>75</v>
      </c>
    </row>
    <row r="125" spans="1:11" x14ac:dyDescent="0.2">
      <c r="A125" s="4">
        <v>46127</v>
      </c>
      <c r="B125" t="s">
        <v>166</v>
      </c>
      <c r="C125" t="s">
        <v>36</v>
      </c>
      <c r="D125">
        <v>17.399999999999999</v>
      </c>
      <c r="E125" t="s">
        <v>36</v>
      </c>
      <c r="F125">
        <v>-17.399999999999999</v>
      </c>
      <c r="H125">
        <v>0</v>
      </c>
      <c r="I125">
        <v>57936.35</v>
      </c>
      <c r="J125" t="s">
        <v>38</v>
      </c>
      <c r="K125" t="s">
        <v>75</v>
      </c>
    </row>
    <row r="126" spans="1:11" x14ac:dyDescent="0.2">
      <c r="A126" s="4">
        <v>46127</v>
      </c>
      <c r="B126" t="s">
        <v>167</v>
      </c>
      <c r="C126" t="s">
        <v>36</v>
      </c>
      <c r="D126">
        <v>12</v>
      </c>
      <c r="E126" t="s">
        <v>36</v>
      </c>
      <c r="F126">
        <v>-12</v>
      </c>
      <c r="H126">
        <v>0</v>
      </c>
      <c r="I126">
        <v>57953.75</v>
      </c>
      <c r="J126" t="s">
        <v>38</v>
      </c>
      <c r="K126" t="s">
        <v>75</v>
      </c>
    </row>
    <row r="127" spans="1:11" x14ac:dyDescent="0.2">
      <c r="A127" s="4">
        <v>46126</v>
      </c>
      <c r="B127" t="s">
        <v>104</v>
      </c>
      <c r="C127" t="s">
        <v>36</v>
      </c>
      <c r="D127">
        <v>35</v>
      </c>
      <c r="E127" t="s">
        <v>36</v>
      </c>
      <c r="F127">
        <v>-35</v>
      </c>
      <c r="H127">
        <v>0</v>
      </c>
      <c r="I127">
        <v>57965.75</v>
      </c>
      <c r="J127" t="s">
        <v>38</v>
      </c>
      <c r="K127" t="s">
        <v>75</v>
      </c>
    </row>
    <row r="128" spans="1:11" x14ac:dyDescent="0.2">
      <c r="A128" s="4">
        <v>46122</v>
      </c>
      <c r="B128" t="s">
        <v>157</v>
      </c>
      <c r="C128" t="s">
        <v>36</v>
      </c>
      <c r="D128">
        <v>11.8</v>
      </c>
      <c r="E128" t="s">
        <v>36</v>
      </c>
      <c r="F128">
        <v>-11.8</v>
      </c>
      <c r="H128">
        <v>0</v>
      </c>
      <c r="I128">
        <v>58000.75</v>
      </c>
      <c r="J128" t="s">
        <v>38</v>
      </c>
      <c r="K128" t="s">
        <v>75</v>
      </c>
    </row>
    <row r="129" spans="1:11" x14ac:dyDescent="0.2">
      <c r="A129" s="4">
        <v>46124</v>
      </c>
      <c r="B129" t="s">
        <v>161</v>
      </c>
      <c r="C129" t="s">
        <v>36</v>
      </c>
      <c r="D129">
        <v>27</v>
      </c>
      <c r="E129" t="s">
        <v>36</v>
      </c>
      <c r="F129">
        <v>-27</v>
      </c>
      <c r="H129">
        <v>0</v>
      </c>
      <c r="I129">
        <v>58012.55</v>
      </c>
      <c r="J129" t="s">
        <v>38</v>
      </c>
      <c r="K129" t="s">
        <v>75</v>
      </c>
    </row>
    <row r="130" spans="1:11" x14ac:dyDescent="0.2">
      <c r="A130" s="4">
        <v>46122</v>
      </c>
      <c r="B130" t="s">
        <v>146</v>
      </c>
      <c r="C130" t="s">
        <v>36</v>
      </c>
      <c r="D130">
        <v>1.96</v>
      </c>
      <c r="E130" t="s">
        <v>36</v>
      </c>
      <c r="F130">
        <v>-1.96</v>
      </c>
      <c r="H130">
        <v>0</v>
      </c>
      <c r="I130">
        <v>58039.55</v>
      </c>
      <c r="J130" t="s">
        <v>38</v>
      </c>
      <c r="K130" t="s">
        <v>75</v>
      </c>
    </row>
    <row r="131" spans="1:11" x14ac:dyDescent="0.2">
      <c r="A131" s="4">
        <v>46124</v>
      </c>
      <c r="B131" t="s">
        <v>168</v>
      </c>
      <c r="C131" t="s">
        <v>36</v>
      </c>
      <c r="D131">
        <v>7.88</v>
      </c>
      <c r="E131" t="s">
        <v>36</v>
      </c>
      <c r="F131">
        <v>-7.88</v>
      </c>
      <c r="H131">
        <v>0</v>
      </c>
      <c r="I131">
        <v>58041.51</v>
      </c>
      <c r="J131" t="s">
        <v>38</v>
      </c>
      <c r="K131" t="s">
        <v>75</v>
      </c>
    </row>
    <row r="132" spans="1:11" x14ac:dyDescent="0.2">
      <c r="A132" s="4">
        <v>46123</v>
      </c>
      <c r="B132" t="s">
        <v>169</v>
      </c>
      <c r="C132" t="s">
        <v>36</v>
      </c>
      <c r="D132">
        <v>22</v>
      </c>
      <c r="E132" t="s">
        <v>36</v>
      </c>
      <c r="F132">
        <v>-22</v>
      </c>
      <c r="H132">
        <v>0</v>
      </c>
      <c r="I132">
        <v>58049.39</v>
      </c>
      <c r="J132" t="s">
        <v>38</v>
      </c>
      <c r="K132" t="s">
        <v>75</v>
      </c>
    </row>
    <row r="133" spans="1:11" x14ac:dyDescent="0.2">
      <c r="A133" s="4">
        <v>46123</v>
      </c>
      <c r="B133" t="s">
        <v>154</v>
      </c>
      <c r="C133" t="s">
        <v>36</v>
      </c>
      <c r="D133">
        <v>16</v>
      </c>
      <c r="E133" t="s">
        <v>36</v>
      </c>
      <c r="F133">
        <v>-16</v>
      </c>
      <c r="H133">
        <v>0</v>
      </c>
      <c r="I133">
        <v>58071.39</v>
      </c>
      <c r="J133" t="s">
        <v>38</v>
      </c>
      <c r="K133" t="s">
        <v>75</v>
      </c>
    </row>
    <row r="134" spans="1:11" x14ac:dyDescent="0.2">
      <c r="A134" s="4">
        <v>46121</v>
      </c>
      <c r="B134" t="s">
        <v>127</v>
      </c>
      <c r="C134" t="s">
        <v>36</v>
      </c>
      <c r="D134">
        <v>88</v>
      </c>
      <c r="E134" t="s">
        <v>36</v>
      </c>
      <c r="F134">
        <v>-88</v>
      </c>
      <c r="H134">
        <v>0</v>
      </c>
      <c r="I134">
        <v>58087.39</v>
      </c>
      <c r="J134" t="s">
        <v>38</v>
      </c>
      <c r="K134" t="s">
        <v>75</v>
      </c>
    </row>
    <row r="135" spans="1:11" x14ac:dyDescent="0.2">
      <c r="A135" s="4">
        <v>46121</v>
      </c>
      <c r="B135" t="s">
        <v>112</v>
      </c>
      <c r="C135" t="s">
        <v>37</v>
      </c>
      <c r="D135">
        <v>20</v>
      </c>
      <c r="E135" t="s">
        <v>36</v>
      </c>
      <c r="F135">
        <f>-D135/1.17</f>
        <v>-17.094017094017094</v>
      </c>
      <c r="H135">
        <v>0</v>
      </c>
      <c r="I135">
        <v>80123.59</v>
      </c>
      <c r="J135" t="s">
        <v>66</v>
      </c>
      <c r="K135" t="s">
        <v>75</v>
      </c>
    </row>
    <row r="136" spans="1:11" x14ac:dyDescent="0.2">
      <c r="A136" s="4">
        <v>46120</v>
      </c>
      <c r="B136" t="s">
        <v>170</v>
      </c>
      <c r="C136" t="s">
        <v>36</v>
      </c>
      <c r="D136">
        <v>50</v>
      </c>
      <c r="E136" t="s">
        <v>36</v>
      </c>
      <c r="F136">
        <v>-50</v>
      </c>
      <c r="H136">
        <v>0</v>
      </c>
      <c r="I136">
        <v>58175.39</v>
      </c>
      <c r="J136" t="s">
        <v>38</v>
      </c>
      <c r="K136" t="s">
        <v>75</v>
      </c>
    </row>
    <row r="137" spans="1:11" x14ac:dyDescent="0.2">
      <c r="A137" s="4">
        <v>46118</v>
      </c>
      <c r="B137" t="s">
        <v>171</v>
      </c>
      <c r="C137" t="s">
        <v>36</v>
      </c>
      <c r="D137">
        <v>5.78</v>
      </c>
      <c r="E137" t="s">
        <v>36</v>
      </c>
      <c r="F137">
        <v>-5.78</v>
      </c>
      <c r="H137">
        <v>0</v>
      </c>
      <c r="I137">
        <v>58225.39</v>
      </c>
      <c r="J137" t="s">
        <v>38</v>
      </c>
      <c r="K137" t="s">
        <v>75</v>
      </c>
    </row>
    <row r="138" spans="1:11" x14ac:dyDescent="0.2">
      <c r="A138" s="4">
        <v>46120</v>
      </c>
      <c r="B138" t="s">
        <v>115</v>
      </c>
      <c r="C138" t="s">
        <v>36</v>
      </c>
      <c r="D138">
        <v>39.99</v>
      </c>
      <c r="E138" t="s">
        <v>36</v>
      </c>
      <c r="F138">
        <v>-39.99</v>
      </c>
      <c r="H138">
        <v>0</v>
      </c>
      <c r="I138">
        <v>58231.17</v>
      </c>
      <c r="J138" t="s">
        <v>38</v>
      </c>
      <c r="K138" t="s">
        <v>75</v>
      </c>
    </row>
    <row r="139" spans="1:11" x14ac:dyDescent="0.2">
      <c r="A139" s="4">
        <v>46115</v>
      </c>
      <c r="B139" t="s">
        <v>157</v>
      </c>
      <c r="C139" t="s">
        <v>36</v>
      </c>
      <c r="D139">
        <v>18.600000000000001</v>
      </c>
      <c r="E139" t="s">
        <v>36</v>
      </c>
      <c r="F139">
        <v>-18.600000000000001</v>
      </c>
      <c r="H139">
        <v>0</v>
      </c>
      <c r="I139">
        <v>58271.16</v>
      </c>
      <c r="J139" t="s">
        <v>38</v>
      </c>
      <c r="K139" t="s">
        <v>75</v>
      </c>
    </row>
    <row r="140" spans="1:11" x14ac:dyDescent="0.2">
      <c r="A140" s="4">
        <v>46118</v>
      </c>
      <c r="B140" t="s">
        <v>153</v>
      </c>
      <c r="C140" t="s">
        <v>36</v>
      </c>
      <c r="D140">
        <v>8</v>
      </c>
      <c r="E140" t="s">
        <v>36</v>
      </c>
      <c r="F140">
        <v>-8</v>
      </c>
      <c r="H140">
        <v>0</v>
      </c>
      <c r="I140">
        <v>58289.760000000002</v>
      </c>
      <c r="J140" t="s">
        <v>38</v>
      </c>
      <c r="K140" t="s">
        <v>75</v>
      </c>
    </row>
    <row r="141" spans="1:11" x14ac:dyDescent="0.2">
      <c r="A141" s="4">
        <v>46118</v>
      </c>
      <c r="B141" t="s">
        <v>172</v>
      </c>
      <c r="C141" t="s">
        <v>36</v>
      </c>
      <c r="D141">
        <v>16</v>
      </c>
      <c r="E141" t="s">
        <v>36</v>
      </c>
      <c r="F141">
        <v>-16</v>
      </c>
      <c r="H141">
        <v>0</v>
      </c>
      <c r="I141">
        <v>58297.760000000002</v>
      </c>
      <c r="J141" t="s">
        <v>38</v>
      </c>
      <c r="K141" t="s">
        <v>75</v>
      </c>
    </row>
    <row r="142" spans="1:11" x14ac:dyDescent="0.2">
      <c r="A142" s="4">
        <v>46115</v>
      </c>
      <c r="B142" t="s">
        <v>166</v>
      </c>
      <c r="C142" t="s">
        <v>36</v>
      </c>
      <c r="D142">
        <v>5.3</v>
      </c>
      <c r="E142" t="s">
        <v>36</v>
      </c>
      <c r="F142">
        <v>-5.3</v>
      </c>
      <c r="H142">
        <v>0</v>
      </c>
      <c r="I142">
        <v>58313.760000000002</v>
      </c>
      <c r="J142" t="s">
        <v>38</v>
      </c>
      <c r="K142" t="s">
        <v>75</v>
      </c>
    </row>
    <row r="143" spans="1:11" x14ac:dyDescent="0.2">
      <c r="A143" s="4">
        <v>46114</v>
      </c>
      <c r="B143" t="s">
        <v>173</v>
      </c>
      <c r="C143" t="s">
        <v>36</v>
      </c>
      <c r="D143">
        <v>55.5</v>
      </c>
      <c r="E143" t="s">
        <v>36</v>
      </c>
      <c r="F143">
        <v>-55.5</v>
      </c>
      <c r="H143">
        <v>0</v>
      </c>
      <c r="I143">
        <v>58319.06</v>
      </c>
      <c r="J143" t="s">
        <v>38</v>
      </c>
      <c r="K143" t="s">
        <v>75</v>
      </c>
    </row>
    <row r="144" spans="1:11" x14ac:dyDescent="0.2">
      <c r="A144" s="4">
        <v>46111</v>
      </c>
      <c r="B144" t="s">
        <v>174</v>
      </c>
      <c r="C144" t="s">
        <v>37</v>
      </c>
      <c r="D144">
        <v>6</v>
      </c>
      <c r="E144" t="s">
        <v>36</v>
      </c>
      <c r="F144">
        <f>-D144/1.17</f>
        <v>-5.1282051282051286</v>
      </c>
      <c r="H144">
        <v>0</v>
      </c>
      <c r="I144">
        <v>80143.59</v>
      </c>
      <c r="J144" t="s">
        <v>66</v>
      </c>
      <c r="K144" t="s">
        <v>75</v>
      </c>
    </row>
    <row r="145" spans="1:11" x14ac:dyDescent="0.2">
      <c r="A145" s="4">
        <v>46109</v>
      </c>
      <c r="B145" t="s">
        <v>94</v>
      </c>
      <c r="C145" t="s">
        <v>36</v>
      </c>
      <c r="D145">
        <v>16.93</v>
      </c>
      <c r="E145" t="s">
        <v>36</v>
      </c>
      <c r="F145">
        <v>-16.93</v>
      </c>
      <c r="H145">
        <v>0</v>
      </c>
      <c r="I145">
        <v>58374.559999999998</v>
      </c>
      <c r="J145" t="s">
        <v>38</v>
      </c>
      <c r="K145" t="s">
        <v>75</v>
      </c>
    </row>
    <row r="146" spans="1:11" x14ac:dyDescent="0.2">
      <c r="A146" s="4">
        <v>46110</v>
      </c>
      <c r="B146" t="s">
        <v>120</v>
      </c>
      <c r="C146" t="s">
        <v>36</v>
      </c>
      <c r="D146">
        <v>89.96</v>
      </c>
      <c r="E146" t="s">
        <v>36</v>
      </c>
      <c r="F146">
        <v>-89.96</v>
      </c>
      <c r="H146">
        <v>0</v>
      </c>
      <c r="I146">
        <v>58391.49</v>
      </c>
      <c r="J146" t="s">
        <v>38</v>
      </c>
      <c r="K146" t="s">
        <v>75</v>
      </c>
    </row>
    <row r="147" spans="1:11" x14ac:dyDescent="0.2">
      <c r="A147" s="4">
        <v>46108</v>
      </c>
      <c r="B147" t="s">
        <v>157</v>
      </c>
      <c r="C147" t="s">
        <v>36</v>
      </c>
      <c r="D147">
        <v>12.9</v>
      </c>
      <c r="E147" t="s">
        <v>36</v>
      </c>
      <c r="F147">
        <v>-12.9</v>
      </c>
      <c r="H147">
        <v>0</v>
      </c>
      <c r="I147">
        <v>58481.45</v>
      </c>
      <c r="J147" t="s">
        <v>38</v>
      </c>
      <c r="K147" t="s">
        <v>75</v>
      </c>
    </row>
    <row r="148" spans="1:11" x14ac:dyDescent="0.2">
      <c r="A148" s="4">
        <v>46107</v>
      </c>
      <c r="B148" t="s">
        <v>175</v>
      </c>
      <c r="C148" t="s">
        <v>37</v>
      </c>
      <c r="D148">
        <v>44.4</v>
      </c>
      <c r="E148" t="s">
        <v>36</v>
      </c>
      <c r="F148">
        <f>-D148/1.17</f>
        <v>-37.948717948717949</v>
      </c>
      <c r="H148">
        <v>0</v>
      </c>
      <c r="I148">
        <v>80149.59</v>
      </c>
      <c r="J148" t="s">
        <v>66</v>
      </c>
      <c r="K148" t="s">
        <v>75</v>
      </c>
    </row>
    <row r="149" spans="1:11" x14ac:dyDescent="0.2">
      <c r="A149" s="4">
        <v>46106</v>
      </c>
      <c r="B149" t="s">
        <v>96</v>
      </c>
      <c r="C149" t="s">
        <v>36</v>
      </c>
      <c r="D149">
        <v>16.79</v>
      </c>
      <c r="E149" t="s">
        <v>36</v>
      </c>
      <c r="F149">
        <v>-16.79</v>
      </c>
      <c r="H149">
        <v>0</v>
      </c>
      <c r="I149">
        <v>58494.35</v>
      </c>
      <c r="J149" t="s">
        <v>38</v>
      </c>
      <c r="K149" t="s">
        <v>75</v>
      </c>
    </row>
    <row r="150" spans="1:11" x14ac:dyDescent="0.2">
      <c r="A150" s="4">
        <v>46105</v>
      </c>
      <c r="B150" t="s">
        <v>176</v>
      </c>
      <c r="C150" t="s">
        <v>36</v>
      </c>
      <c r="D150">
        <v>0.99</v>
      </c>
      <c r="E150" t="s">
        <v>36</v>
      </c>
      <c r="F150">
        <v>-0.99</v>
      </c>
      <c r="H150">
        <v>0</v>
      </c>
      <c r="I150">
        <v>58511.14</v>
      </c>
      <c r="J150" t="s">
        <v>38</v>
      </c>
      <c r="K150" t="s">
        <v>75</v>
      </c>
    </row>
    <row r="151" spans="1:11" x14ac:dyDescent="0.2">
      <c r="A151" s="4">
        <v>46105</v>
      </c>
      <c r="B151" t="s">
        <v>177</v>
      </c>
      <c r="C151" t="s">
        <v>36</v>
      </c>
      <c r="D151">
        <v>4.62</v>
      </c>
      <c r="E151" t="s">
        <v>36</v>
      </c>
      <c r="F151">
        <v>-4.62</v>
      </c>
      <c r="H151">
        <v>0</v>
      </c>
      <c r="I151">
        <v>58512.13</v>
      </c>
      <c r="J151" t="s">
        <v>38</v>
      </c>
      <c r="K151" t="s">
        <v>75</v>
      </c>
    </row>
    <row r="152" spans="1:11" x14ac:dyDescent="0.2">
      <c r="A152" s="4">
        <v>46105</v>
      </c>
      <c r="B152" t="s">
        <v>120</v>
      </c>
      <c r="C152" t="s">
        <v>36</v>
      </c>
      <c r="D152">
        <v>18</v>
      </c>
      <c r="E152" t="s">
        <v>36</v>
      </c>
      <c r="F152">
        <v>-18</v>
      </c>
      <c r="H152">
        <v>0</v>
      </c>
      <c r="I152">
        <v>58516.75</v>
      </c>
      <c r="J152" t="s">
        <v>38</v>
      </c>
      <c r="K152" t="s">
        <v>75</v>
      </c>
    </row>
    <row r="153" spans="1:11" x14ac:dyDescent="0.2">
      <c r="A153" s="29">
        <v>46105</v>
      </c>
      <c r="B153" s="28" t="s">
        <v>41</v>
      </c>
      <c r="C153" s="28" t="s">
        <v>36</v>
      </c>
      <c r="D153" s="28">
        <v>18523.580000000002</v>
      </c>
      <c r="E153" s="28" t="s">
        <v>42</v>
      </c>
      <c r="F153" s="28">
        <v>-29520</v>
      </c>
      <c r="G153" s="28">
        <v>0.62749299999999997</v>
      </c>
      <c r="H153" s="28">
        <v>-111.14</v>
      </c>
      <c r="I153" s="28">
        <v>0</v>
      </c>
      <c r="J153" s="28" t="s">
        <v>43</v>
      </c>
      <c r="K153" s="11" t="s">
        <v>97</v>
      </c>
    </row>
    <row r="154" spans="1:11" x14ac:dyDescent="0.2">
      <c r="A154" s="29">
        <v>46105</v>
      </c>
      <c r="B154" s="28" t="s">
        <v>41</v>
      </c>
      <c r="C154" s="28" t="s">
        <v>42</v>
      </c>
      <c r="D154" s="28">
        <v>-29520</v>
      </c>
      <c r="E154" s="28" t="s">
        <v>36</v>
      </c>
      <c r="F154" s="28">
        <v>18523.580000000002</v>
      </c>
      <c r="G154" s="28">
        <v>1.5936440000000001</v>
      </c>
      <c r="H154" s="28">
        <v>-111.14</v>
      </c>
      <c r="I154" s="28">
        <v>58534.75</v>
      </c>
      <c r="J154" s="28" t="s">
        <v>38</v>
      </c>
      <c r="K154" s="11" t="s">
        <v>97</v>
      </c>
    </row>
    <row r="155" spans="1:11" x14ac:dyDescent="0.2">
      <c r="A155" s="4">
        <v>46103</v>
      </c>
      <c r="B155" t="s">
        <v>94</v>
      </c>
      <c r="C155" t="s">
        <v>36</v>
      </c>
      <c r="D155">
        <v>12.93</v>
      </c>
      <c r="E155" t="s">
        <v>36</v>
      </c>
      <c r="F155">
        <v>-12.93</v>
      </c>
      <c r="H155">
        <v>0</v>
      </c>
      <c r="I155">
        <v>40122.31</v>
      </c>
      <c r="J155" t="s">
        <v>38</v>
      </c>
      <c r="K155" t="s">
        <v>75</v>
      </c>
    </row>
    <row r="156" spans="1:11" x14ac:dyDescent="0.2">
      <c r="A156" s="29">
        <v>46101</v>
      </c>
      <c r="B156" s="28" t="s">
        <v>46</v>
      </c>
      <c r="C156" s="28" t="s">
        <v>42</v>
      </c>
      <c r="D156" s="28">
        <v>29520</v>
      </c>
      <c r="E156" s="28" t="s">
        <v>42</v>
      </c>
      <c r="F156" s="28">
        <v>29520</v>
      </c>
      <c r="G156" s="28"/>
      <c r="H156" s="28">
        <v>0</v>
      </c>
      <c r="I156" s="28">
        <v>29520</v>
      </c>
      <c r="J156" s="28" t="s">
        <v>43</v>
      </c>
      <c r="K156" s="28" t="s">
        <v>178</v>
      </c>
    </row>
    <row r="157" spans="1:11" x14ac:dyDescent="0.2">
      <c r="A157" s="29">
        <v>46100</v>
      </c>
      <c r="B157" s="28" t="s">
        <v>44</v>
      </c>
      <c r="C157" s="28" t="s">
        <v>37</v>
      </c>
      <c r="D157" s="28">
        <v>18240</v>
      </c>
      <c r="E157" s="28" t="s">
        <v>37</v>
      </c>
      <c r="F157" s="28">
        <v>18240</v>
      </c>
      <c r="G157" s="28"/>
      <c r="H157" s="28">
        <v>0</v>
      </c>
      <c r="I157" s="28">
        <v>68240</v>
      </c>
      <c r="J157" s="28" t="s">
        <v>37</v>
      </c>
      <c r="K157" s="28" t="s">
        <v>179</v>
      </c>
    </row>
    <row r="158" spans="1:11" x14ac:dyDescent="0.2">
      <c r="A158" s="10">
        <v>46100</v>
      </c>
      <c r="B158" s="11" t="s">
        <v>35</v>
      </c>
      <c r="C158" s="11" t="s">
        <v>36</v>
      </c>
      <c r="D158" s="11">
        <v>20031.580000000002</v>
      </c>
      <c r="E158" s="11" t="s">
        <v>37</v>
      </c>
      <c r="F158" s="11">
        <v>-22960</v>
      </c>
      <c r="G158" s="11">
        <v>0.87245600000000001</v>
      </c>
      <c r="H158" s="11">
        <v>-30.19</v>
      </c>
      <c r="I158" s="11">
        <v>50000</v>
      </c>
      <c r="J158" s="11" t="s">
        <v>37</v>
      </c>
      <c r="K158" s="11" t="s">
        <v>132</v>
      </c>
    </row>
    <row r="159" spans="1:11" x14ac:dyDescent="0.2">
      <c r="A159" s="10">
        <v>46100</v>
      </c>
      <c r="B159" s="11" t="s">
        <v>35</v>
      </c>
      <c r="C159" s="11" t="s">
        <v>37</v>
      </c>
      <c r="D159" s="11">
        <v>-22960</v>
      </c>
      <c r="E159" s="11" t="s">
        <v>36</v>
      </c>
      <c r="F159" s="11">
        <v>20031.580000000002</v>
      </c>
      <c r="G159" s="11">
        <v>1.14619</v>
      </c>
      <c r="H159" s="11">
        <v>-30.19</v>
      </c>
      <c r="I159" s="11">
        <v>40135.24</v>
      </c>
      <c r="J159" s="11" t="s">
        <v>38</v>
      </c>
      <c r="K159" s="11" t="s">
        <v>132</v>
      </c>
    </row>
    <row r="160" spans="1:11" x14ac:dyDescent="0.2">
      <c r="A160" s="4">
        <v>46096</v>
      </c>
      <c r="B160" t="s">
        <v>180</v>
      </c>
      <c r="C160" t="s">
        <v>36</v>
      </c>
      <c r="D160">
        <v>175</v>
      </c>
      <c r="E160" t="s">
        <v>36</v>
      </c>
      <c r="F160">
        <v>-175</v>
      </c>
      <c r="H160">
        <v>0</v>
      </c>
      <c r="I160">
        <v>20133.849999999999</v>
      </c>
      <c r="J160" t="s">
        <v>38</v>
      </c>
      <c r="K160" t="s">
        <v>75</v>
      </c>
    </row>
    <row r="161" spans="1:11" x14ac:dyDescent="0.2">
      <c r="A161" s="4">
        <v>46095</v>
      </c>
      <c r="B161" t="s">
        <v>104</v>
      </c>
      <c r="C161" t="s">
        <v>36</v>
      </c>
      <c r="D161">
        <v>35</v>
      </c>
      <c r="E161" t="s">
        <v>36</v>
      </c>
      <c r="F161">
        <v>-35</v>
      </c>
      <c r="H161">
        <v>0</v>
      </c>
      <c r="I161">
        <v>20308.849999999999</v>
      </c>
      <c r="J161" t="s">
        <v>38</v>
      </c>
      <c r="K161" t="s">
        <v>75</v>
      </c>
    </row>
    <row r="162" spans="1:11" x14ac:dyDescent="0.2">
      <c r="A162" s="4">
        <v>46092</v>
      </c>
      <c r="B162" t="s">
        <v>181</v>
      </c>
      <c r="C162" t="s">
        <v>36</v>
      </c>
      <c r="D162">
        <v>103</v>
      </c>
      <c r="E162" t="s">
        <v>36</v>
      </c>
      <c r="F162">
        <v>-103</v>
      </c>
      <c r="H162">
        <v>0</v>
      </c>
      <c r="I162">
        <v>20343.849999999999</v>
      </c>
      <c r="J162" t="s">
        <v>38</v>
      </c>
      <c r="K162" t="s">
        <v>75</v>
      </c>
    </row>
    <row r="163" spans="1:11" x14ac:dyDescent="0.2">
      <c r="A163" s="4">
        <v>46091</v>
      </c>
      <c r="B163" t="s">
        <v>182</v>
      </c>
      <c r="C163" t="s">
        <v>37</v>
      </c>
      <c r="D163">
        <v>18</v>
      </c>
      <c r="E163" t="s">
        <v>36</v>
      </c>
      <c r="F163">
        <f>-D163/1.17</f>
        <v>-15.384615384615385</v>
      </c>
      <c r="H163">
        <v>0</v>
      </c>
      <c r="I163">
        <v>80193.990000000005</v>
      </c>
      <c r="J163" t="s">
        <v>66</v>
      </c>
      <c r="K163" t="s">
        <v>75</v>
      </c>
    </row>
    <row r="164" spans="1:11" x14ac:dyDescent="0.2">
      <c r="A164" s="4">
        <v>46091</v>
      </c>
      <c r="B164" t="s">
        <v>183</v>
      </c>
      <c r="C164" t="s">
        <v>184</v>
      </c>
      <c r="D164">
        <v>149</v>
      </c>
      <c r="E164" t="s">
        <v>36</v>
      </c>
      <c r="F164">
        <v>-7.87</v>
      </c>
      <c r="G164">
        <v>18.955172000000001</v>
      </c>
      <c r="H164">
        <v>-0.05</v>
      </c>
      <c r="I164">
        <v>20446.849999999999</v>
      </c>
      <c r="J164" t="s">
        <v>38</v>
      </c>
      <c r="K164" t="s">
        <v>75</v>
      </c>
    </row>
    <row r="165" spans="1:11" x14ac:dyDescent="0.2">
      <c r="A165" s="4">
        <v>46090</v>
      </c>
      <c r="B165" t="s">
        <v>112</v>
      </c>
      <c r="C165" t="s">
        <v>37</v>
      </c>
      <c r="D165">
        <v>20</v>
      </c>
      <c r="E165" t="s">
        <v>36</v>
      </c>
      <c r="F165">
        <f>-D165/1.17</f>
        <v>-17.094017094017094</v>
      </c>
      <c r="H165">
        <v>0</v>
      </c>
      <c r="I165">
        <v>80211.990000000005</v>
      </c>
      <c r="J165" t="s">
        <v>66</v>
      </c>
      <c r="K165" t="s">
        <v>75</v>
      </c>
    </row>
    <row r="166" spans="1:11" x14ac:dyDescent="0.2">
      <c r="A166" s="4">
        <v>46089</v>
      </c>
      <c r="B166" t="s">
        <v>185</v>
      </c>
      <c r="C166" t="s">
        <v>36</v>
      </c>
      <c r="D166">
        <v>71.900000000000006</v>
      </c>
      <c r="E166" t="s">
        <v>36</v>
      </c>
      <c r="F166">
        <v>-71.900000000000006</v>
      </c>
      <c r="H166">
        <v>0</v>
      </c>
      <c r="I166">
        <v>20454.77</v>
      </c>
      <c r="J166" t="s">
        <v>38</v>
      </c>
      <c r="K166" t="s">
        <v>75</v>
      </c>
    </row>
    <row r="167" spans="1:11" x14ac:dyDescent="0.2">
      <c r="A167" s="4">
        <v>46087</v>
      </c>
      <c r="B167" t="s">
        <v>186</v>
      </c>
      <c r="C167" t="s">
        <v>184</v>
      </c>
      <c r="D167">
        <v>359.45</v>
      </c>
      <c r="E167" t="s">
        <v>36</v>
      </c>
      <c r="F167">
        <v>-18.64</v>
      </c>
      <c r="G167">
        <v>19.294011999999999</v>
      </c>
      <c r="H167">
        <v>-0.11</v>
      </c>
      <c r="I167">
        <v>20526.669999999998</v>
      </c>
      <c r="J167" t="s">
        <v>38</v>
      </c>
      <c r="K167" t="s">
        <v>75</v>
      </c>
    </row>
    <row r="168" spans="1:11" x14ac:dyDescent="0.2">
      <c r="A168" s="4">
        <v>46087</v>
      </c>
      <c r="B168" t="s">
        <v>187</v>
      </c>
      <c r="C168" t="s">
        <v>36</v>
      </c>
      <c r="D168">
        <v>282.54000000000002</v>
      </c>
      <c r="E168" t="s">
        <v>36</v>
      </c>
      <c r="F168">
        <v>-282.54000000000002</v>
      </c>
      <c r="H168">
        <v>0</v>
      </c>
      <c r="I168">
        <v>20545.419999999998</v>
      </c>
      <c r="J168" t="s">
        <v>38</v>
      </c>
      <c r="K168" t="s">
        <v>75</v>
      </c>
    </row>
    <row r="169" spans="1:11" x14ac:dyDescent="0.2">
      <c r="A169" s="4">
        <v>46086</v>
      </c>
      <c r="B169" t="s">
        <v>115</v>
      </c>
      <c r="C169" t="s">
        <v>36</v>
      </c>
      <c r="D169">
        <v>39.99</v>
      </c>
      <c r="E169" t="s">
        <v>36</v>
      </c>
      <c r="F169">
        <v>-39.99</v>
      </c>
      <c r="H169">
        <v>0</v>
      </c>
      <c r="I169">
        <v>20827.96</v>
      </c>
      <c r="J169" t="s">
        <v>38</v>
      </c>
      <c r="K169" t="s">
        <v>75</v>
      </c>
    </row>
    <row r="170" spans="1:11" x14ac:dyDescent="0.2">
      <c r="A170" s="4">
        <v>46084</v>
      </c>
      <c r="B170" t="s">
        <v>182</v>
      </c>
      <c r="C170" t="s">
        <v>37</v>
      </c>
      <c r="D170">
        <v>15</v>
      </c>
      <c r="E170" t="s">
        <v>36</v>
      </c>
      <c r="F170">
        <f>-D170/1.17</f>
        <v>-12.820512820512821</v>
      </c>
      <c r="H170">
        <v>0</v>
      </c>
      <c r="I170">
        <v>80231.990000000005</v>
      </c>
      <c r="J170" t="s">
        <v>66</v>
      </c>
      <c r="K170" t="s">
        <v>75</v>
      </c>
    </row>
    <row r="171" spans="1:11" x14ac:dyDescent="0.2">
      <c r="A171" s="4">
        <v>46083</v>
      </c>
      <c r="B171" t="s">
        <v>188</v>
      </c>
      <c r="C171" t="s">
        <v>36</v>
      </c>
      <c r="D171">
        <v>2.99</v>
      </c>
      <c r="E171" t="s">
        <v>36</v>
      </c>
      <c r="F171">
        <v>-2.99</v>
      </c>
      <c r="H171">
        <v>0</v>
      </c>
      <c r="I171">
        <v>20867.95</v>
      </c>
      <c r="J171" t="s">
        <v>38</v>
      </c>
      <c r="K171" t="s">
        <v>75</v>
      </c>
    </row>
    <row r="172" spans="1:11" x14ac:dyDescent="0.2">
      <c r="A172" s="4">
        <v>46082</v>
      </c>
      <c r="B172" t="s">
        <v>189</v>
      </c>
      <c r="C172" t="s">
        <v>36</v>
      </c>
      <c r="D172">
        <v>120</v>
      </c>
      <c r="E172" t="s">
        <v>36</v>
      </c>
      <c r="F172">
        <v>-120</v>
      </c>
      <c r="H172">
        <v>0</v>
      </c>
      <c r="I172">
        <v>20870.939999999999</v>
      </c>
      <c r="J172" t="s">
        <v>38</v>
      </c>
      <c r="K172" t="s">
        <v>75</v>
      </c>
    </row>
    <row r="173" spans="1:11" x14ac:dyDescent="0.2">
      <c r="A173" s="4">
        <v>46081</v>
      </c>
      <c r="B173" t="s">
        <v>190</v>
      </c>
      <c r="C173" t="s">
        <v>184</v>
      </c>
      <c r="D173">
        <v>677.73</v>
      </c>
      <c r="E173" t="s">
        <v>36</v>
      </c>
      <c r="F173">
        <v>-36.08</v>
      </c>
      <c r="G173">
        <v>18.784527000000001</v>
      </c>
      <c r="H173">
        <v>-0.57999999999999996</v>
      </c>
      <c r="I173">
        <v>20990.94</v>
      </c>
      <c r="J173" t="s">
        <v>38</v>
      </c>
      <c r="K173" t="s">
        <v>75</v>
      </c>
    </row>
    <row r="174" spans="1:11" x14ac:dyDescent="0.2">
      <c r="A174" s="4">
        <v>46081</v>
      </c>
      <c r="B174" t="s">
        <v>119</v>
      </c>
      <c r="C174" t="s">
        <v>36</v>
      </c>
      <c r="D174">
        <v>32.99</v>
      </c>
      <c r="E174" t="s">
        <v>36</v>
      </c>
      <c r="F174">
        <v>-32.99</v>
      </c>
      <c r="H174">
        <v>0</v>
      </c>
      <c r="I174">
        <v>21027.599999999999</v>
      </c>
      <c r="J174" t="s">
        <v>38</v>
      </c>
      <c r="K174" t="s">
        <v>75</v>
      </c>
    </row>
    <row r="175" spans="1:11" x14ac:dyDescent="0.2">
      <c r="A175" s="4">
        <v>46080</v>
      </c>
      <c r="B175" t="s">
        <v>191</v>
      </c>
      <c r="C175" t="s">
        <v>184</v>
      </c>
      <c r="D175">
        <v>70</v>
      </c>
      <c r="E175" t="s">
        <v>36</v>
      </c>
      <c r="F175">
        <v>-3.73</v>
      </c>
      <c r="G175">
        <v>18.808897999999999</v>
      </c>
      <c r="H175">
        <v>-0.02</v>
      </c>
      <c r="I175">
        <v>21060.59</v>
      </c>
      <c r="J175" t="s">
        <v>38</v>
      </c>
      <c r="K175" t="s">
        <v>75</v>
      </c>
    </row>
    <row r="176" spans="1:11" x14ac:dyDescent="0.2">
      <c r="A176" s="4">
        <v>46080</v>
      </c>
      <c r="B176" t="s">
        <v>191</v>
      </c>
      <c r="C176" t="s">
        <v>184</v>
      </c>
      <c r="D176">
        <v>69</v>
      </c>
      <c r="E176" t="s">
        <v>36</v>
      </c>
      <c r="F176">
        <v>-3.67</v>
      </c>
      <c r="G176">
        <v>18.842665</v>
      </c>
      <c r="H176">
        <v>-0.02</v>
      </c>
      <c r="I176">
        <v>21064.34</v>
      </c>
      <c r="J176" t="s">
        <v>38</v>
      </c>
      <c r="K176" t="s">
        <v>75</v>
      </c>
    </row>
    <row r="177" spans="1:11" x14ac:dyDescent="0.2">
      <c r="A177" s="4">
        <v>46080</v>
      </c>
      <c r="B177" t="s">
        <v>191</v>
      </c>
      <c r="C177" t="s">
        <v>184</v>
      </c>
      <c r="D177">
        <v>103</v>
      </c>
      <c r="E177" t="s">
        <v>36</v>
      </c>
      <c r="F177">
        <v>-5.49</v>
      </c>
      <c r="G177">
        <v>18.790977000000002</v>
      </c>
      <c r="H177">
        <v>-0.03</v>
      </c>
      <c r="I177">
        <v>21068.03</v>
      </c>
      <c r="J177" t="s">
        <v>38</v>
      </c>
      <c r="K177" t="s">
        <v>75</v>
      </c>
    </row>
    <row r="178" spans="1:11" x14ac:dyDescent="0.2">
      <c r="A178" s="4">
        <v>46080</v>
      </c>
      <c r="B178" t="s">
        <v>191</v>
      </c>
      <c r="C178" t="s">
        <v>184</v>
      </c>
      <c r="D178">
        <v>83</v>
      </c>
      <c r="E178" t="s">
        <v>36</v>
      </c>
      <c r="F178">
        <v>-4.42</v>
      </c>
      <c r="G178">
        <v>18.781879</v>
      </c>
      <c r="H178">
        <v>-0.03</v>
      </c>
      <c r="I178">
        <v>21073.55</v>
      </c>
      <c r="J178" t="s">
        <v>38</v>
      </c>
      <c r="K178" t="s">
        <v>75</v>
      </c>
    </row>
    <row r="179" spans="1:11" x14ac:dyDescent="0.2">
      <c r="A179" s="4">
        <v>46078</v>
      </c>
      <c r="B179" t="s">
        <v>192</v>
      </c>
      <c r="C179" t="s">
        <v>36</v>
      </c>
      <c r="D179">
        <v>109.33</v>
      </c>
      <c r="E179" t="s">
        <v>36</v>
      </c>
      <c r="F179">
        <v>109.33</v>
      </c>
      <c r="H179">
        <v>0</v>
      </c>
      <c r="I179">
        <v>21078</v>
      </c>
      <c r="J179" t="s">
        <v>38</v>
      </c>
      <c r="K179" t="s">
        <v>75</v>
      </c>
    </row>
    <row r="180" spans="1:11" x14ac:dyDescent="0.2">
      <c r="A180" s="4">
        <v>46078</v>
      </c>
      <c r="B180" t="s">
        <v>193</v>
      </c>
      <c r="C180" t="s">
        <v>184</v>
      </c>
      <c r="D180">
        <v>610</v>
      </c>
      <c r="E180" t="s">
        <v>36</v>
      </c>
      <c r="F180">
        <v>-32.619999999999997</v>
      </c>
      <c r="G180">
        <v>18.700562999999999</v>
      </c>
      <c r="H180">
        <v>-0.2</v>
      </c>
      <c r="I180">
        <v>20968.669999999998</v>
      </c>
      <c r="J180" t="s">
        <v>38</v>
      </c>
      <c r="K180" t="s">
        <v>75</v>
      </c>
    </row>
    <row r="181" spans="1:11" x14ac:dyDescent="0.2">
      <c r="A181" s="4">
        <v>46078</v>
      </c>
      <c r="B181" t="s">
        <v>194</v>
      </c>
      <c r="C181" t="s">
        <v>184</v>
      </c>
      <c r="D181">
        <v>1800</v>
      </c>
      <c r="E181" t="s">
        <v>36</v>
      </c>
      <c r="F181">
        <v>-96.1</v>
      </c>
      <c r="G181">
        <v>18.730917000000002</v>
      </c>
      <c r="H181">
        <v>-0.57999999999999996</v>
      </c>
      <c r="I181">
        <v>21001.49</v>
      </c>
      <c r="J181" t="s">
        <v>38</v>
      </c>
      <c r="K181" t="s">
        <v>75</v>
      </c>
    </row>
    <row r="182" spans="1:11" x14ac:dyDescent="0.2">
      <c r="A182" s="4">
        <v>46078</v>
      </c>
      <c r="B182" t="s">
        <v>96</v>
      </c>
      <c r="C182" t="s">
        <v>36</v>
      </c>
      <c r="D182">
        <v>16.79</v>
      </c>
      <c r="E182" t="s">
        <v>36</v>
      </c>
      <c r="F182">
        <v>-16.79</v>
      </c>
      <c r="H182">
        <v>0</v>
      </c>
      <c r="I182">
        <v>21098.17</v>
      </c>
      <c r="J182" t="s">
        <v>38</v>
      </c>
      <c r="K182" t="s">
        <v>75</v>
      </c>
    </row>
    <row r="183" spans="1:11" x14ac:dyDescent="0.2">
      <c r="A183" s="4">
        <v>46074</v>
      </c>
      <c r="B183" t="s">
        <v>90</v>
      </c>
      <c r="C183" t="s">
        <v>36</v>
      </c>
      <c r="D183">
        <v>8.6999999999999993</v>
      </c>
      <c r="E183" t="s">
        <v>36</v>
      </c>
      <c r="F183">
        <v>-8.6999999999999993</v>
      </c>
      <c r="H183">
        <v>0</v>
      </c>
      <c r="I183">
        <v>21114.959999999999</v>
      </c>
      <c r="J183" t="s">
        <v>38</v>
      </c>
      <c r="K183" t="s">
        <v>75</v>
      </c>
    </row>
    <row r="184" spans="1:11" x14ac:dyDescent="0.2">
      <c r="A184" s="4">
        <v>46076</v>
      </c>
      <c r="B184" t="s">
        <v>188</v>
      </c>
      <c r="C184" t="s">
        <v>36</v>
      </c>
      <c r="D184">
        <v>0.64</v>
      </c>
      <c r="E184" t="s">
        <v>36</v>
      </c>
      <c r="F184">
        <v>-0.64</v>
      </c>
      <c r="H184">
        <v>0</v>
      </c>
      <c r="I184">
        <v>21123.66</v>
      </c>
      <c r="J184" t="s">
        <v>38</v>
      </c>
      <c r="K184" t="s">
        <v>75</v>
      </c>
    </row>
    <row r="185" spans="1:11" x14ac:dyDescent="0.2">
      <c r="A185" s="4">
        <v>46075</v>
      </c>
      <c r="B185" t="s">
        <v>195</v>
      </c>
      <c r="C185" t="s">
        <v>184</v>
      </c>
      <c r="D185">
        <v>2259</v>
      </c>
      <c r="E185" t="s">
        <v>36</v>
      </c>
      <c r="F185">
        <v>-119.78</v>
      </c>
      <c r="G185">
        <v>18.859635000000001</v>
      </c>
      <c r="H185">
        <v>-1.92</v>
      </c>
      <c r="I185">
        <v>21124.3</v>
      </c>
      <c r="J185" t="s">
        <v>38</v>
      </c>
      <c r="K185" t="s">
        <v>75</v>
      </c>
    </row>
    <row r="186" spans="1:11" x14ac:dyDescent="0.2">
      <c r="A186" s="4">
        <v>46075</v>
      </c>
      <c r="B186" t="s">
        <v>196</v>
      </c>
      <c r="C186" t="s">
        <v>184</v>
      </c>
      <c r="D186">
        <v>1836.04</v>
      </c>
      <c r="E186" t="s">
        <v>36</v>
      </c>
      <c r="F186">
        <v>-97.32</v>
      </c>
      <c r="G186">
        <v>18.867179</v>
      </c>
      <c r="H186">
        <v>-1.55</v>
      </c>
      <c r="I186">
        <v>21246</v>
      </c>
      <c r="J186" t="s">
        <v>38</v>
      </c>
      <c r="K186" t="s">
        <v>75</v>
      </c>
    </row>
    <row r="187" spans="1:11" x14ac:dyDescent="0.2">
      <c r="A187" s="4">
        <v>46074</v>
      </c>
      <c r="B187" t="s">
        <v>197</v>
      </c>
      <c r="C187" t="s">
        <v>36</v>
      </c>
      <c r="D187">
        <v>12</v>
      </c>
      <c r="E187" t="s">
        <v>36</v>
      </c>
      <c r="F187">
        <v>-12</v>
      </c>
      <c r="H187">
        <v>0</v>
      </c>
      <c r="I187">
        <v>21344.87</v>
      </c>
      <c r="J187" t="s">
        <v>38</v>
      </c>
      <c r="K187" t="s">
        <v>75</v>
      </c>
    </row>
    <row r="188" spans="1:11" x14ac:dyDescent="0.2">
      <c r="A188" s="4">
        <v>46074</v>
      </c>
      <c r="B188" t="s">
        <v>107</v>
      </c>
      <c r="C188" t="s">
        <v>36</v>
      </c>
      <c r="D188">
        <v>44.89</v>
      </c>
      <c r="E188" t="s">
        <v>36</v>
      </c>
      <c r="F188">
        <v>-44.89</v>
      </c>
      <c r="H188">
        <v>0</v>
      </c>
      <c r="I188">
        <v>21356.87</v>
      </c>
      <c r="J188" t="s">
        <v>38</v>
      </c>
      <c r="K188" t="s">
        <v>75</v>
      </c>
    </row>
    <row r="189" spans="1:11" x14ac:dyDescent="0.2">
      <c r="A189" s="4">
        <v>46074</v>
      </c>
      <c r="B189" t="s">
        <v>198</v>
      </c>
      <c r="C189" t="s">
        <v>199</v>
      </c>
      <c r="D189">
        <v>28.45</v>
      </c>
      <c r="E189" t="s">
        <v>36</v>
      </c>
      <c r="F189">
        <v>-31.17</v>
      </c>
      <c r="G189">
        <v>0.91277900000000001</v>
      </c>
      <c r="H189">
        <v>-0.5</v>
      </c>
      <c r="I189">
        <v>21401.759999999998</v>
      </c>
      <c r="J189" t="s">
        <v>38</v>
      </c>
      <c r="K189" t="s">
        <v>75</v>
      </c>
    </row>
    <row r="190" spans="1:11" x14ac:dyDescent="0.2">
      <c r="A190" s="4">
        <v>46072</v>
      </c>
      <c r="B190" t="s">
        <v>182</v>
      </c>
      <c r="C190" t="s">
        <v>37</v>
      </c>
      <c r="D190">
        <v>12</v>
      </c>
      <c r="E190" t="s">
        <v>36</v>
      </c>
      <c r="F190">
        <f>-D190/1.17</f>
        <v>-10.256410256410257</v>
      </c>
      <c r="H190">
        <v>0</v>
      </c>
      <c r="I190">
        <v>80246.990000000005</v>
      </c>
      <c r="J190" t="s">
        <v>66</v>
      </c>
      <c r="K190" t="s">
        <v>75</v>
      </c>
    </row>
    <row r="191" spans="1:11" x14ac:dyDescent="0.2">
      <c r="A191" s="4">
        <v>46071</v>
      </c>
      <c r="B191" t="s">
        <v>155</v>
      </c>
      <c r="C191" t="s">
        <v>36</v>
      </c>
      <c r="D191">
        <v>44.8</v>
      </c>
      <c r="E191" t="s">
        <v>36</v>
      </c>
      <c r="F191">
        <v>-44.8</v>
      </c>
      <c r="H191">
        <v>0</v>
      </c>
      <c r="I191">
        <v>21433.43</v>
      </c>
      <c r="J191" t="s">
        <v>38</v>
      </c>
      <c r="K191" t="s">
        <v>75</v>
      </c>
    </row>
    <row r="192" spans="1:11" x14ac:dyDescent="0.2">
      <c r="A192" s="4">
        <v>46072</v>
      </c>
      <c r="B192" t="s">
        <v>200</v>
      </c>
      <c r="C192" t="s">
        <v>36</v>
      </c>
      <c r="D192">
        <v>41.98</v>
      </c>
      <c r="E192" t="s">
        <v>36</v>
      </c>
      <c r="F192">
        <v>-41.98</v>
      </c>
      <c r="H192">
        <v>0</v>
      </c>
      <c r="I192">
        <v>21478.23</v>
      </c>
      <c r="J192" t="s">
        <v>38</v>
      </c>
      <c r="K192" t="s">
        <v>75</v>
      </c>
    </row>
    <row r="193" spans="1:11" x14ac:dyDescent="0.2">
      <c r="A193" s="10">
        <v>46070</v>
      </c>
      <c r="B193" s="11" t="s">
        <v>46</v>
      </c>
      <c r="C193" s="11" t="s">
        <v>37</v>
      </c>
      <c r="D193" s="11">
        <v>16320</v>
      </c>
      <c r="E193" s="11" t="s">
        <v>37</v>
      </c>
      <c r="F193" s="11">
        <v>16320</v>
      </c>
      <c r="G193" s="11"/>
      <c r="H193" s="11">
        <v>0</v>
      </c>
      <c r="I193" s="11">
        <v>72960</v>
      </c>
      <c r="J193" s="11" t="s">
        <v>37</v>
      </c>
      <c r="K193" s="11" t="s">
        <v>50</v>
      </c>
    </row>
    <row r="194" spans="1:11" x14ac:dyDescent="0.2">
      <c r="A194" s="4">
        <v>46069</v>
      </c>
      <c r="B194" t="s">
        <v>157</v>
      </c>
      <c r="C194" t="s">
        <v>36</v>
      </c>
      <c r="D194">
        <v>12.2</v>
      </c>
      <c r="E194" t="s">
        <v>36</v>
      </c>
      <c r="F194">
        <v>-12.2</v>
      </c>
      <c r="H194">
        <v>0</v>
      </c>
      <c r="I194">
        <v>21520.21</v>
      </c>
      <c r="J194" t="s">
        <v>38</v>
      </c>
      <c r="K194" t="s">
        <v>75</v>
      </c>
    </row>
    <row r="195" spans="1:11" x14ac:dyDescent="0.2">
      <c r="A195" s="10">
        <v>46070</v>
      </c>
      <c r="B195" s="11" t="s">
        <v>41</v>
      </c>
      <c r="C195" s="11" t="s">
        <v>36</v>
      </c>
      <c r="D195" s="11">
        <v>16046.75</v>
      </c>
      <c r="E195" s="11" t="s">
        <v>42</v>
      </c>
      <c r="F195" s="11">
        <v>-25920</v>
      </c>
      <c r="G195" s="11">
        <v>0.61908799999999997</v>
      </c>
      <c r="H195" s="11">
        <v>-6.28</v>
      </c>
      <c r="I195" s="11">
        <v>0</v>
      </c>
      <c r="J195" s="11" t="s">
        <v>43</v>
      </c>
      <c r="K195" s="11" t="s">
        <v>201</v>
      </c>
    </row>
    <row r="196" spans="1:11" x14ac:dyDescent="0.2">
      <c r="A196" s="10">
        <v>46070</v>
      </c>
      <c r="B196" s="11" t="s">
        <v>41</v>
      </c>
      <c r="C196" s="11" t="s">
        <v>42</v>
      </c>
      <c r="D196" s="11">
        <v>-25920</v>
      </c>
      <c r="E196" s="11" t="s">
        <v>36</v>
      </c>
      <c r="F196" s="11">
        <v>16046.75</v>
      </c>
      <c r="G196" s="11">
        <v>1.61528</v>
      </c>
      <c r="H196" s="11">
        <v>-6.28</v>
      </c>
      <c r="I196" s="11">
        <v>21532.41</v>
      </c>
      <c r="J196" s="11" t="s">
        <v>38</v>
      </c>
      <c r="K196" s="11" t="s">
        <v>201</v>
      </c>
    </row>
    <row r="197" spans="1:11" x14ac:dyDescent="0.2">
      <c r="A197" s="10">
        <v>46070</v>
      </c>
      <c r="B197" s="11" t="s">
        <v>46</v>
      </c>
      <c r="C197" s="11" t="s">
        <v>42</v>
      </c>
      <c r="D197" s="11">
        <v>13680</v>
      </c>
      <c r="E197" s="11" t="s">
        <v>42</v>
      </c>
      <c r="F197" s="11">
        <v>13680</v>
      </c>
      <c r="G197" s="11"/>
      <c r="H197" s="11">
        <v>0</v>
      </c>
      <c r="I197" s="11">
        <v>25920</v>
      </c>
      <c r="J197" s="11" t="s">
        <v>43</v>
      </c>
      <c r="K197" s="11" t="s">
        <v>202</v>
      </c>
    </row>
    <row r="198" spans="1:11" x14ac:dyDescent="0.2">
      <c r="A198" s="4">
        <v>46069</v>
      </c>
      <c r="B198" t="s">
        <v>107</v>
      </c>
      <c r="C198" t="s">
        <v>36</v>
      </c>
      <c r="D198">
        <v>3</v>
      </c>
      <c r="E198" t="s">
        <v>36</v>
      </c>
      <c r="F198">
        <v>-3</v>
      </c>
      <c r="H198">
        <v>0</v>
      </c>
      <c r="I198">
        <v>5491.94</v>
      </c>
      <c r="J198" t="s">
        <v>38</v>
      </c>
      <c r="K198" t="s">
        <v>75</v>
      </c>
    </row>
    <row r="199" spans="1:11" x14ac:dyDescent="0.2">
      <c r="A199" s="4">
        <v>46068</v>
      </c>
      <c r="B199" t="s">
        <v>121</v>
      </c>
      <c r="C199" t="s">
        <v>36</v>
      </c>
      <c r="D199">
        <v>77.099999999999994</v>
      </c>
      <c r="E199" t="s">
        <v>36</v>
      </c>
      <c r="F199">
        <v>-77.099999999999994</v>
      </c>
      <c r="H199">
        <v>0</v>
      </c>
      <c r="I199">
        <v>5494.94</v>
      </c>
      <c r="J199" t="s">
        <v>38</v>
      </c>
      <c r="K199" t="s">
        <v>75</v>
      </c>
    </row>
    <row r="200" spans="1:11" x14ac:dyDescent="0.2">
      <c r="A200" s="4">
        <v>46068</v>
      </c>
      <c r="B200" t="s">
        <v>203</v>
      </c>
      <c r="C200" t="s">
        <v>36</v>
      </c>
      <c r="D200">
        <v>298.85000000000002</v>
      </c>
      <c r="E200" t="s">
        <v>36</v>
      </c>
      <c r="F200">
        <v>-298.85000000000002</v>
      </c>
      <c r="H200">
        <v>0</v>
      </c>
      <c r="I200">
        <v>5572.04</v>
      </c>
      <c r="J200" t="s">
        <v>38</v>
      </c>
      <c r="K200" t="s">
        <v>75</v>
      </c>
    </row>
    <row r="201" spans="1:11" x14ac:dyDescent="0.2">
      <c r="A201" s="4">
        <v>46067</v>
      </c>
      <c r="B201" t="s">
        <v>104</v>
      </c>
      <c r="C201" t="s">
        <v>36</v>
      </c>
      <c r="D201">
        <v>35</v>
      </c>
      <c r="E201" t="s">
        <v>36</v>
      </c>
      <c r="F201">
        <v>-35</v>
      </c>
      <c r="H201">
        <v>0</v>
      </c>
      <c r="I201">
        <v>5870.89</v>
      </c>
      <c r="J201" t="s">
        <v>38</v>
      </c>
      <c r="K201" t="s">
        <v>75</v>
      </c>
    </row>
    <row r="202" spans="1:11" x14ac:dyDescent="0.2">
      <c r="A202" s="4">
        <v>46065</v>
      </c>
      <c r="B202" t="s">
        <v>204</v>
      </c>
      <c r="C202" t="s">
        <v>36</v>
      </c>
      <c r="D202">
        <v>9</v>
      </c>
      <c r="E202" t="s">
        <v>36</v>
      </c>
      <c r="F202">
        <v>-9</v>
      </c>
      <c r="H202">
        <v>0</v>
      </c>
      <c r="I202">
        <v>5905.89</v>
      </c>
      <c r="J202" t="s">
        <v>38</v>
      </c>
      <c r="K202" t="s">
        <v>75</v>
      </c>
    </row>
    <row r="203" spans="1:11" x14ac:dyDescent="0.2">
      <c r="A203" s="4">
        <v>46065</v>
      </c>
      <c r="B203" t="s">
        <v>200</v>
      </c>
      <c r="C203" t="s">
        <v>36</v>
      </c>
      <c r="D203">
        <v>110.63</v>
      </c>
      <c r="E203" t="s">
        <v>36</v>
      </c>
      <c r="F203">
        <v>-110.63</v>
      </c>
      <c r="H203">
        <v>0</v>
      </c>
      <c r="I203">
        <v>5914.89</v>
      </c>
      <c r="J203" t="s">
        <v>38</v>
      </c>
      <c r="K203" t="s">
        <v>75</v>
      </c>
    </row>
    <row r="204" spans="1:11" x14ac:dyDescent="0.2">
      <c r="A204" s="4">
        <v>46064</v>
      </c>
      <c r="B204" t="s">
        <v>108</v>
      </c>
      <c r="C204" t="s">
        <v>36</v>
      </c>
      <c r="D204">
        <v>2.6</v>
      </c>
      <c r="E204" t="s">
        <v>36</v>
      </c>
      <c r="F204">
        <v>-2.6</v>
      </c>
      <c r="H204">
        <v>0</v>
      </c>
      <c r="I204">
        <v>6025.52</v>
      </c>
      <c r="J204" t="s">
        <v>38</v>
      </c>
      <c r="K204" t="s">
        <v>75</v>
      </c>
    </row>
    <row r="205" spans="1:11" x14ac:dyDescent="0.2">
      <c r="A205" s="4">
        <v>46063</v>
      </c>
      <c r="B205" t="s">
        <v>182</v>
      </c>
      <c r="C205" t="s">
        <v>37</v>
      </c>
      <c r="D205">
        <v>18</v>
      </c>
      <c r="E205" t="s">
        <v>36</v>
      </c>
      <c r="F205">
        <f>-D205/1.17</f>
        <v>-15.384615384615385</v>
      </c>
      <c r="H205">
        <v>0</v>
      </c>
      <c r="I205">
        <v>80258.990000000005</v>
      </c>
      <c r="J205" t="s">
        <v>66</v>
      </c>
      <c r="K205" t="s">
        <v>75</v>
      </c>
    </row>
    <row r="206" spans="1:11" x14ac:dyDescent="0.2">
      <c r="A206" s="4">
        <v>46063</v>
      </c>
      <c r="B206" t="s">
        <v>121</v>
      </c>
      <c r="C206" t="s">
        <v>36</v>
      </c>
      <c r="D206">
        <v>42.5</v>
      </c>
      <c r="E206" t="s">
        <v>36</v>
      </c>
      <c r="F206">
        <v>-42.5</v>
      </c>
      <c r="H206">
        <v>0</v>
      </c>
      <c r="I206">
        <v>6028.12</v>
      </c>
      <c r="J206" t="s">
        <v>38</v>
      </c>
      <c r="K206" t="s">
        <v>75</v>
      </c>
    </row>
    <row r="207" spans="1:11" x14ac:dyDescent="0.2">
      <c r="A207" s="4">
        <v>46062</v>
      </c>
      <c r="B207" t="s">
        <v>112</v>
      </c>
      <c r="C207" t="s">
        <v>37</v>
      </c>
      <c r="D207">
        <v>20</v>
      </c>
      <c r="E207" t="s">
        <v>36</v>
      </c>
      <c r="F207">
        <f t="shared" ref="F207:F208" si="0">-D207/1.17</f>
        <v>-17.094017094017094</v>
      </c>
      <c r="H207">
        <v>0</v>
      </c>
      <c r="I207">
        <v>80276.990000000005</v>
      </c>
      <c r="J207" t="s">
        <v>66</v>
      </c>
      <c r="K207" t="s">
        <v>75</v>
      </c>
    </row>
    <row r="208" spans="1:11" x14ac:dyDescent="0.2">
      <c r="A208" s="4">
        <v>46061</v>
      </c>
      <c r="B208" t="s">
        <v>182</v>
      </c>
      <c r="C208" t="s">
        <v>37</v>
      </c>
      <c r="D208">
        <v>10</v>
      </c>
      <c r="E208" t="s">
        <v>36</v>
      </c>
      <c r="F208">
        <f t="shared" si="0"/>
        <v>-8.5470085470085468</v>
      </c>
      <c r="H208">
        <v>0</v>
      </c>
      <c r="I208">
        <v>80296.990000000005</v>
      </c>
      <c r="J208" t="s">
        <v>66</v>
      </c>
      <c r="K208" t="s">
        <v>75</v>
      </c>
    </row>
    <row r="209" spans="1:11" x14ac:dyDescent="0.2">
      <c r="A209" s="4">
        <v>46058</v>
      </c>
      <c r="B209" t="s">
        <v>205</v>
      </c>
      <c r="C209" t="s">
        <v>36</v>
      </c>
      <c r="D209">
        <v>40</v>
      </c>
      <c r="E209" t="s">
        <v>36</v>
      </c>
      <c r="F209">
        <v>-40</v>
      </c>
      <c r="H209">
        <v>0</v>
      </c>
      <c r="I209">
        <v>6070.62</v>
      </c>
      <c r="J209" t="s">
        <v>38</v>
      </c>
      <c r="K209" t="s">
        <v>75</v>
      </c>
    </row>
    <row r="210" spans="1:11" x14ac:dyDescent="0.2">
      <c r="A210" s="4">
        <v>46058</v>
      </c>
      <c r="B210" t="s">
        <v>115</v>
      </c>
      <c r="C210" t="s">
        <v>36</v>
      </c>
      <c r="D210">
        <v>39.99</v>
      </c>
      <c r="E210" t="s">
        <v>36</v>
      </c>
      <c r="F210">
        <v>-39.99</v>
      </c>
      <c r="H210">
        <v>0</v>
      </c>
      <c r="I210">
        <v>6110.62</v>
      </c>
      <c r="J210" t="s">
        <v>38</v>
      </c>
      <c r="K210" t="s">
        <v>75</v>
      </c>
    </row>
    <row r="211" spans="1:11" x14ac:dyDescent="0.2">
      <c r="A211" s="4">
        <v>46054</v>
      </c>
      <c r="B211" t="s">
        <v>182</v>
      </c>
      <c r="C211" t="s">
        <v>37</v>
      </c>
      <c r="D211">
        <v>15</v>
      </c>
      <c r="E211" t="s">
        <v>36</v>
      </c>
      <c r="F211">
        <f>-D211/1.17</f>
        <v>-12.820512820512821</v>
      </c>
      <c r="H211">
        <v>0</v>
      </c>
      <c r="I211">
        <v>80306.990000000005</v>
      </c>
      <c r="J211" t="s">
        <v>66</v>
      </c>
      <c r="K211" t="s">
        <v>75</v>
      </c>
    </row>
    <row r="212" spans="1:11" x14ac:dyDescent="0.2">
      <c r="A212" s="4">
        <v>46052</v>
      </c>
      <c r="B212" t="s">
        <v>127</v>
      </c>
      <c r="C212" t="s">
        <v>36</v>
      </c>
      <c r="D212">
        <v>42</v>
      </c>
      <c r="E212" t="s">
        <v>36</v>
      </c>
      <c r="F212">
        <v>-42</v>
      </c>
      <c r="H212">
        <v>0</v>
      </c>
      <c r="I212">
        <v>6150.61</v>
      </c>
      <c r="J212" t="s">
        <v>38</v>
      </c>
      <c r="K212" t="s">
        <v>75</v>
      </c>
    </row>
    <row r="213" spans="1:11" x14ac:dyDescent="0.2">
      <c r="A213" s="4">
        <v>46053</v>
      </c>
      <c r="B213" t="s">
        <v>206</v>
      </c>
      <c r="C213" t="s">
        <v>184</v>
      </c>
      <c r="D213">
        <v>2095</v>
      </c>
      <c r="E213" t="s">
        <v>36</v>
      </c>
      <c r="F213">
        <v>-109.57</v>
      </c>
      <c r="G213">
        <v>19.121865</v>
      </c>
      <c r="H213">
        <v>-1.1000000000000001</v>
      </c>
      <c r="I213">
        <v>6192.61</v>
      </c>
      <c r="J213" t="s">
        <v>38</v>
      </c>
      <c r="K213" t="s">
        <v>75</v>
      </c>
    </row>
    <row r="214" spans="1:11" x14ac:dyDescent="0.2">
      <c r="A214" s="4">
        <v>46053</v>
      </c>
      <c r="B214" t="s">
        <v>207</v>
      </c>
      <c r="C214" t="s">
        <v>36</v>
      </c>
      <c r="D214">
        <v>865.41</v>
      </c>
      <c r="E214" t="s">
        <v>36</v>
      </c>
      <c r="F214">
        <v>-865.41</v>
      </c>
      <c r="H214">
        <v>0</v>
      </c>
      <c r="I214">
        <v>6303.28</v>
      </c>
      <c r="J214" t="s">
        <v>38</v>
      </c>
      <c r="K214" t="s">
        <v>75</v>
      </c>
    </row>
    <row r="215" spans="1:11" x14ac:dyDescent="0.2">
      <c r="A215" s="4">
        <v>46053</v>
      </c>
      <c r="B215" t="s">
        <v>208</v>
      </c>
      <c r="C215" t="s">
        <v>36</v>
      </c>
      <c r="D215">
        <v>22</v>
      </c>
      <c r="E215" t="s">
        <v>36</v>
      </c>
      <c r="F215">
        <v>-22</v>
      </c>
      <c r="H215">
        <v>0</v>
      </c>
      <c r="I215">
        <v>7168.69</v>
      </c>
      <c r="J215" t="s">
        <v>38</v>
      </c>
      <c r="K215" t="s">
        <v>75</v>
      </c>
    </row>
    <row r="216" spans="1:11" x14ac:dyDescent="0.2">
      <c r="A216" s="4">
        <v>46053</v>
      </c>
      <c r="B216" t="s">
        <v>209</v>
      </c>
      <c r="C216" t="s">
        <v>36</v>
      </c>
      <c r="D216">
        <v>271.64999999999998</v>
      </c>
      <c r="E216" t="s">
        <v>36</v>
      </c>
      <c r="F216">
        <v>-271.64999999999998</v>
      </c>
      <c r="H216">
        <v>0</v>
      </c>
      <c r="I216">
        <v>7190.69</v>
      </c>
      <c r="J216" t="s">
        <v>38</v>
      </c>
      <c r="K216" t="s">
        <v>75</v>
      </c>
    </row>
    <row r="217" spans="1:11" x14ac:dyDescent="0.2">
      <c r="A217" s="4">
        <v>46051</v>
      </c>
      <c r="B217" t="s">
        <v>119</v>
      </c>
      <c r="C217" t="s">
        <v>36</v>
      </c>
      <c r="D217">
        <v>32.99</v>
      </c>
      <c r="E217" t="s">
        <v>36</v>
      </c>
      <c r="F217">
        <v>-32.99</v>
      </c>
      <c r="H217">
        <v>0</v>
      </c>
      <c r="I217">
        <v>7462.34</v>
      </c>
      <c r="J217" t="s">
        <v>38</v>
      </c>
      <c r="K217" t="s">
        <v>75</v>
      </c>
    </row>
    <row r="218" spans="1:11" x14ac:dyDescent="0.2">
      <c r="A218" s="4">
        <v>46048</v>
      </c>
      <c r="B218" t="s">
        <v>206</v>
      </c>
      <c r="C218" t="s">
        <v>184</v>
      </c>
      <c r="D218">
        <v>7480</v>
      </c>
      <c r="E218" t="s">
        <v>36</v>
      </c>
      <c r="F218">
        <v>-392.86</v>
      </c>
      <c r="G218">
        <v>19.039929999999998</v>
      </c>
      <c r="H218">
        <v>0</v>
      </c>
      <c r="I218">
        <v>7495.33</v>
      </c>
      <c r="J218" t="s">
        <v>38</v>
      </c>
      <c r="K218" t="s">
        <v>75</v>
      </c>
    </row>
    <row r="219" spans="1:11" x14ac:dyDescent="0.2">
      <c r="A219" s="4">
        <v>46048</v>
      </c>
      <c r="B219" t="s">
        <v>210</v>
      </c>
      <c r="C219" t="s">
        <v>36</v>
      </c>
      <c r="D219">
        <v>214.78</v>
      </c>
      <c r="E219" t="s">
        <v>36</v>
      </c>
      <c r="F219">
        <v>-214.78</v>
      </c>
      <c r="H219">
        <v>0</v>
      </c>
      <c r="I219">
        <v>7888.19</v>
      </c>
      <c r="J219" t="s">
        <v>38</v>
      </c>
      <c r="K219" t="s">
        <v>75</v>
      </c>
    </row>
    <row r="220" spans="1:11" x14ac:dyDescent="0.2">
      <c r="A220" s="4">
        <v>46047</v>
      </c>
      <c r="B220" t="s">
        <v>162</v>
      </c>
      <c r="C220" t="s">
        <v>36</v>
      </c>
      <c r="D220">
        <v>20.100000000000001</v>
      </c>
      <c r="E220" t="s">
        <v>36</v>
      </c>
      <c r="F220">
        <v>-20.100000000000001</v>
      </c>
      <c r="H220">
        <v>0</v>
      </c>
      <c r="I220">
        <v>8102.97</v>
      </c>
      <c r="J220" t="s">
        <v>38</v>
      </c>
      <c r="K220" t="s">
        <v>75</v>
      </c>
    </row>
    <row r="221" spans="1:11" x14ac:dyDescent="0.2">
      <c r="A221" s="4">
        <v>46047</v>
      </c>
      <c r="B221" t="s">
        <v>211</v>
      </c>
      <c r="C221" t="s">
        <v>36</v>
      </c>
      <c r="D221">
        <v>11.2</v>
      </c>
      <c r="E221" t="s">
        <v>36</v>
      </c>
      <c r="F221">
        <v>-11.2</v>
      </c>
      <c r="H221">
        <v>0</v>
      </c>
      <c r="I221">
        <v>8123.07</v>
      </c>
      <c r="J221" t="s">
        <v>38</v>
      </c>
      <c r="K221" t="s">
        <v>75</v>
      </c>
    </row>
    <row r="222" spans="1:11" x14ac:dyDescent="0.2">
      <c r="A222" s="4">
        <v>46047</v>
      </c>
      <c r="B222" t="s">
        <v>96</v>
      </c>
      <c r="C222" t="s">
        <v>36</v>
      </c>
      <c r="D222">
        <v>16.79</v>
      </c>
      <c r="E222" t="s">
        <v>36</v>
      </c>
      <c r="F222">
        <v>-16.79</v>
      </c>
      <c r="H222">
        <v>0</v>
      </c>
      <c r="I222">
        <v>8134.27</v>
      </c>
      <c r="J222" t="s">
        <v>38</v>
      </c>
      <c r="K222" t="s">
        <v>75</v>
      </c>
    </row>
    <row r="223" spans="1:11" x14ac:dyDescent="0.2">
      <c r="A223" s="4">
        <v>46045</v>
      </c>
      <c r="B223" t="s">
        <v>162</v>
      </c>
      <c r="C223" t="s">
        <v>36</v>
      </c>
      <c r="D223">
        <v>20.100000000000001</v>
      </c>
      <c r="E223" t="s">
        <v>36</v>
      </c>
      <c r="F223">
        <v>-20.100000000000001</v>
      </c>
      <c r="H223">
        <v>0</v>
      </c>
      <c r="I223">
        <v>8151.06</v>
      </c>
      <c r="J223" t="s">
        <v>38</v>
      </c>
      <c r="K223" t="s">
        <v>75</v>
      </c>
    </row>
    <row r="224" spans="1:11" x14ac:dyDescent="0.2">
      <c r="A224" s="10">
        <v>46045</v>
      </c>
      <c r="B224" s="11" t="s">
        <v>46</v>
      </c>
      <c r="C224" s="11" t="s">
        <v>37</v>
      </c>
      <c r="D224" s="11">
        <v>16320</v>
      </c>
      <c r="E224" s="11" t="s">
        <v>37</v>
      </c>
      <c r="F224" s="11">
        <v>16320</v>
      </c>
      <c r="G224" s="11"/>
      <c r="H224" s="11">
        <v>0</v>
      </c>
      <c r="I224" s="11">
        <v>56640</v>
      </c>
      <c r="J224" s="11" t="s">
        <v>37</v>
      </c>
      <c r="K224" s="11" t="s">
        <v>212</v>
      </c>
    </row>
    <row r="225" spans="1:11" x14ac:dyDescent="0.2">
      <c r="A225" s="4">
        <v>46044</v>
      </c>
      <c r="B225" t="s">
        <v>206</v>
      </c>
      <c r="C225" t="s">
        <v>36</v>
      </c>
      <c r="D225">
        <v>697.89</v>
      </c>
      <c r="E225" t="s">
        <v>36</v>
      </c>
      <c r="F225">
        <v>-697.89</v>
      </c>
      <c r="H225">
        <v>0</v>
      </c>
      <c r="I225">
        <v>8171.16</v>
      </c>
      <c r="J225" t="s">
        <v>38</v>
      </c>
      <c r="K225" t="s">
        <v>75</v>
      </c>
    </row>
    <row r="226" spans="1:11" x14ac:dyDescent="0.2">
      <c r="A226" s="4">
        <v>46042</v>
      </c>
      <c r="B226" t="s">
        <v>213</v>
      </c>
      <c r="C226" t="s">
        <v>184</v>
      </c>
      <c r="D226">
        <v>1812</v>
      </c>
      <c r="E226" t="s">
        <v>36</v>
      </c>
      <c r="F226">
        <v>-94.12</v>
      </c>
      <c r="G226">
        <v>19.252697000000001</v>
      </c>
      <c r="H226">
        <v>0</v>
      </c>
      <c r="I226">
        <v>8869.0499999999993</v>
      </c>
      <c r="J226" t="s">
        <v>38</v>
      </c>
      <c r="K226" t="s">
        <v>75</v>
      </c>
    </row>
    <row r="227" spans="1:11" x14ac:dyDescent="0.2">
      <c r="A227" s="4">
        <v>46039</v>
      </c>
      <c r="B227" t="s">
        <v>214</v>
      </c>
      <c r="C227" t="s">
        <v>36</v>
      </c>
      <c r="D227">
        <v>58.5</v>
      </c>
      <c r="E227" t="s">
        <v>36</v>
      </c>
      <c r="F227">
        <v>-58.5</v>
      </c>
      <c r="H227">
        <v>0</v>
      </c>
      <c r="I227">
        <v>8963.17</v>
      </c>
      <c r="J227" t="s">
        <v>38</v>
      </c>
      <c r="K227" t="s">
        <v>75</v>
      </c>
    </row>
    <row r="228" spans="1:11" x14ac:dyDescent="0.2">
      <c r="A228" s="4">
        <v>46038</v>
      </c>
      <c r="B228" t="s">
        <v>127</v>
      </c>
      <c r="C228" t="s">
        <v>36</v>
      </c>
      <c r="D228">
        <v>55</v>
      </c>
      <c r="E228" t="s">
        <v>36</v>
      </c>
      <c r="F228">
        <v>-55</v>
      </c>
      <c r="H228">
        <v>0</v>
      </c>
      <c r="I228">
        <v>9021.67</v>
      </c>
      <c r="J228" t="s">
        <v>38</v>
      </c>
      <c r="K228" t="s">
        <v>75</v>
      </c>
    </row>
    <row r="229" spans="1:11" x14ac:dyDescent="0.2">
      <c r="A229" s="4">
        <v>46039</v>
      </c>
      <c r="B229" t="s">
        <v>215</v>
      </c>
      <c r="C229" t="s">
        <v>36</v>
      </c>
      <c r="D229">
        <v>1.7</v>
      </c>
      <c r="E229" t="s">
        <v>36</v>
      </c>
      <c r="F229">
        <v>-1.7</v>
      </c>
      <c r="H229">
        <v>0</v>
      </c>
      <c r="I229">
        <v>9076.67</v>
      </c>
      <c r="J229" t="s">
        <v>38</v>
      </c>
      <c r="K229" t="s">
        <v>75</v>
      </c>
    </row>
    <row r="230" spans="1:11" x14ac:dyDescent="0.2">
      <c r="A230" s="4">
        <v>46038</v>
      </c>
      <c r="B230" t="s">
        <v>216</v>
      </c>
      <c r="C230" t="s">
        <v>36</v>
      </c>
      <c r="D230">
        <v>40</v>
      </c>
      <c r="E230" t="s">
        <v>36</v>
      </c>
      <c r="F230">
        <v>-40</v>
      </c>
      <c r="H230">
        <v>0</v>
      </c>
      <c r="I230">
        <v>9078.3700000000008</v>
      </c>
      <c r="J230" t="s">
        <v>38</v>
      </c>
      <c r="K230" t="s">
        <v>75</v>
      </c>
    </row>
    <row r="231" spans="1:11" x14ac:dyDescent="0.2">
      <c r="A231" s="4">
        <v>46038</v>
      </c>
      <c r="B231" t="s">
        <v>104</v>
      </c>
      <c r="C231" t="s">
        <v>36</v>
      </c>
      <c r="D231">
        <v>8</v>
      </c>
      <c r="E231" t="s">
        <v>36</v>
      </c>
      <c r="F231">
        <v>8</v>
      </c>
      <c r="H231">
        <v>0</v>
      </c>
      <c r="I231">
        <v>9118.3700000000008</v>
      </c>
      <c r="J231" t="s">
        <v>38</v>
      </c>
      <c r="K231" t="s">
        <v>75</v>
      </c>
    </row>
    <row r="232" spans="1:11" x14ac:dyDescent="0.2">
      <c r="A232" s="4">
        <v>46038</v>
      </c>
      <c r="B232" t="s">
        <v>104</v>
      </c>
      <c r="C232" t="s">
        <v>36</v>
      </c>
      <c r="D232">
        <v>8</v>
      </c>
      <c r="E232" t="s">
        <v>36</v>
      </c>
      <c r="F232">
        <v>8</v>
      </c>
      <c r="H232">
        <v>0</v>
      </c>
      <c r="I232">
        <v>9110.3700000000008</v>
      </c>
      <c r="J232" t="s">
        <v>38</v>
      </c>
      <c r="K232" t="s">
        <v>75</v>
      </c>
    </row>
    <row r="233" spans="1:11" x14ac:dyDescent="0.2">
      <c r="A233" s="4">
        <v>46038</v>
      </c>
      <c r="B233" t="s">
        <v>104</v>
      </c>
      <c r="C233" t="s">
        <v>36</v>
      </c>
      <c r="D233">
        <v>8</v>
      </c>
      <c r="E233" t="s">
        <v>36</v>
      </c>
      <c r="F233">
        <v>8</v>
      </c>
      <c r="H233">
        <v>0</v>
      </c>
      <c r="I233">
        <v>9102.3700000000008</v>
      </c>
      <c r="J233" t="s">
        <v>38</v>
      </c>
      <c r="K233" t="s">
        <v>75</v>
      </c>
    </row>
    <row r="234" spans="1:11" x14ac:dyDescent="0.2">
      <c r="A234" s="4">
        <v>46037</v>
      </c>
      <c r="B234" t="s">
        <v>217</v>
      </c>
      <c r="C234" t="s">
        <v>36</v>
      </c>
      <c r="D234">
        <v>8</v>
      </c>
      <c r="E234" t="s">
        <v>36</v>
      </c>
      <c r="F234">
        <v>-8</v>
      </c>
      <c r="H234">
        <v>0</v>
      </c>
      <c r="I234">
        <v>9094.3700000000008</v>
      </c>
      <c r="J234" t="s">
        <v>38</v>
      </c>
      <c r="K234" t="s">
        <v>75</v>
      </c>
    </row>
    <row r="235" spans="1:11" x14ac:dyDescent="0.2">
      <c r="A235" s="10">
        <v>46037</v>
      </c>
      <c r="B235" s="11" t="s">
        <v>46</v>
      </c>
      <c r="C235" s="11" t="s">
        <v>42</v>
      </c>
      <c r="D235" s="11">
        <v>12240</v>
      </c>
      <c r="E235" s="11" t="s">
        <v>42</v>
      </c>
      <c r="F235" s="11">
        <v>12240</v>
      </c>
      <c r="G235" s="11"/>
      <c r="H235" s="11">
        <v>0</v>
      </c>
      <c r="I235" s="11">
        <v>12240</v>
      </c>
      <c r="J235" s="11" t="s">
        <v>43</v>
      </c>
      <c r="K235" s="11" t="s">
        <v>202</v>
      </c>
    </row>
    <row r="236" spans="1:11" x14ac:dyDescent="0.2">
      <c r="A236" s="4">
        <v>46036</v>
      </c>
      <c r="B236" t="s">
        <v>157</v>
      </c>
      <c r="C236" t="s">
        <v>36</v>
      </c>
      <c r="D236">
        <v>12.2</v>
      </c>
      <c r="E236" t="s">
        <v>36</v>
      </c>
      <c r="F236">
        <v>-12.2</v>
      </c>
      <c r="H236">
        <v>0</v>
      </c>
      <c r="I236">
        <v>9102.3700000000008</v>
      </c>
      <c r="J236" t="s">
        <v>38</v>
      </c>
      <c r="K236" t="s">
        <v>75</v>
      </c>
    </row>
    <row r="237" spans="1:11" x14ac:dyDescent="0.2">
      <c r="A237" s="10">
        <v>46036</v>
      </c>
      <c r="B237" s="11" t="s">
        <v>41</v>
      </c>
      <c r="C237" s="11" t="s">
        <v>36</v>
      </c>
      <c r="D237" s="11">
        <v>3447.86</v>
      </c>
      <c r="E237" s="11" t="s">
        <v>42</v>
      </c>
      <c r="F237" s="11">
        <v>-5580</v>
      </c>
      <c r="G237" s="11">
        <v>0.61789700000000003</v>
      </c>
      <c r="H237" s="11">
        <v>0</v>
      </c>
      <c r="I237" s="11">
        <v>0</v>
      </c>
      <c r="J237" s="11" t="s">
        <v>43</v>
      </c>
      <c r="K237" s="11" t="s">
        <v>201</v>
      </c>
    </row>
    <row r="238" spans="1:11" x14ac:dyDescent="0.2">
      <c r="A238" s="10">
        <v>46036</v>
      </c>
      <c r="B238" s="11" t="s">
        <v>41</v>
      </c>
      <c r="C238" s="11" t="s">
        <v>42</v>
      </c>
      <c r="D238" s="11">
        <v>-5580</v>
      </c>
      <c r="E238" s="11" t="s">
        <v>36</v>
      </c>
      <c r="F238" s="11">
        <v>3447.86</v>
      </c>
      <c r="G238" s="11">
        <v>1.618393</v>
      </c>
      <c r="H238" s="11">
        <v>0</v>
      </c>
      <c r="I238" s="11">
        <v>9114.57</v>
      </c>
      <c r="J238" s="11" t="s">
        <v>38</v>
      </c>
      <c r="K238" s="11" t="s">
        <v>201</v>
      </c>
    </row>
    <row r="239" spans="1:11" x14ac:dyDescent="0.2">
      <c r="A239" s="4">
        <v>46034</v>
      </c>
      <c r="B239" t="s">
        <v>218</v>
      </c>
      <c r="C239" t="s">
        <v>36</v>
      </c>
      <c r="D239">
        <v>3</v>
      </c>
      <c r="E239" t="s">
        <v>36</v>
      </c>
      <c r="F239">
        <v>3</v>
      </c>
      <c r="H239">
        <v>0</v>
      </c>
      <c r="I239">
        <v>5666.71</v>
      </c>
      <c r="J239" t="s">
        <v>38</v>
      </c>
      <c r="K239" t="s">
        <v>75</v>
      </c>
    </row>
    <row r="240" spans="1:11" x14ac:dyDescent="0.2">
      <c r="A240" s="4">
        <v>46036</v>
      </c>
      <c r="B240" t="s">
        <v>104</v>
      </c>
      <c r="C240" t="s">
        <v>36</v>
      </c>
      <c r="D240">
        <v>35</v>
      </c>
      <c r="E240" t="s">
        <v>36</v>
      </c>
      <c r="F240">
        <v>-35</v>
      </c>
      <c r="H240">
        <v>0</v>
      </c>
      <c r="I240">
        <v>5663.71</v>
      </c>
      <c r="J240" t="s">
        <v>38</v>
      </c>
      <c r="K240" t="s">
        <v>75</v>
      </c>
    </row>
    <row r="241" spans="1:11" x14ac:dyDescent="0.2">
      <c r="A241" s="4">
        <v>46036</v>
      </c>
      <c r="B241" t="s">
        <v>104</v>
      </c>
      <c r="C241" t="s">
        <v>36</v>
      </c>
      <c r="D241">
        <v>8</v>
      </c>
      <c r="E241" t="s">
        <v>36</v>
      </c>
      <c r="F241">
        <v>-8</v>
      </c>
      <c r="H241">
        <v>0</v>
      </c>
      <c r="I241">
        <v>5698.71</v>
      </c>
      <c r="J241" t="s">
        <v>38</v>
      </c>
      <c r="K241" t="s">
        <v>75</v>
      </c>
    </row>
    <row r="242" spans="1:11" x14ac:dyDescent="0.2">
      <c r="A242" s="4">
        <v>46034</v>
      </c>
      <c r="B242" t="s">
        <v>219</v>
      </c>
      <c r="C242" t="s">
        <v>36</v>
      </c>
      <c r="D242">
        <v>12.5</v>
      </c>
      <c r="E242" t="s">
        <v>36</v>
      </c>
      <c r="F242">
        <v>-12.5</v>
      </c>
      <c r="H242">
        <v>0</v>
      </c>
      <c r="I242">
        <v>5706.71</v>
      </c>
      <c r="J242" t="s">
        <v>38</v>
      </c>
      <c r="K242" t="s">
        <v>75</v>
      </c>
    </row>
    <row r="243" spans="1:11" x14ac:dyDescent="0.2">
      <c r="A243" s="4">
        <v>46035</v>
      </c>
      <c r="B243" t="s">
        <v>220</v>
      </c>
      <c r="C243" t="s">
        <v>36</v>
      </c>
      <c r="D243">
        <v>1294</v>
      </c>
      <c r="E243" t="s">
        <v>36</v>
      </c>
      <c r="F243">
        <v>-1294</v>
      </c>
      <c r="H243">
        <v>0</v>
      </c>
      <c r="I243">
        <v>5719.21</v>
      </c>
      <c r="J243" t="s">
        <v>38</v>
      </c>
      <c r="K243" t="s">
        <v>75</v>
      </c>
    </row>
    <row r="244" spans="1:11" x14ac:dyDescent="0.2">
      <c r="A244" s="4">
        <v>46034</v>
      </c>
      <c r="B244" t="s">
        <v>221</v>
      </c>
      <c r="C244" t="s">
        <v>36</v>
      </c>
      <c r="D244">
        <v>4</v>
      </c>
      <c r="E244" t="s">
        <v>36</v>
      </c>
      <c r="F244">
        <v>-4</v>
      </c>
      <c r="H244">
        <v>0</v>
      </c>
      <c r="I244">
        <v>7013.21</v>
      </c>
      <c r="J244" t="s">
        <v>38</v>
      </c>
      <c r="K244" t="s">
        <v>75</v>
      </c>
    </row>
    <row r="245" spans="1:11" x14ac:dyDescent="0.2">
      <c r="A245" s="4">
        <v>46032</v>
      </c>
      <c r="B245" t="s">
        <v>121</v>
      </c>
      <c r="C245" t="s">
        <v>36</v>
      </c>
      <c r="D245">
        <v>109.2</v>
      </c>
      <c r="E245" t="s">
        <v>36</v>
      </c>
      <c r="F245">
        <v>-109.2</v>
      </c>
      <c r="H245">
        <v>0</v>
      </c>
      <c r="I245">
        <v>7017.21</v>
      </c>
      <c r="J245" t="s">
        <v>38</v>
      </c>
      <c r="K245" t="s">
        <v>75</v>
      </c>
    </row>
    <row r="246" spans="1:11" x14ac:dyDescent="0.2">
      <c r="A246" s="4">
        <v>46033</v>
      </c>
      <c r="B246" t="s">
        <v>222</v>
      </c>
      <c r="C246" t="s">
        <v>36</v>
      </c>
      <c r="D246">
        <v>20.98</v>
      </c>
      <c r="E246" t="s">
        <v>36</v>
      </c>
      <c r="F246">
        <v>-20.98</v>
      </c>
      <c r="H246">
        <v>0</v>
      </c>
      <c r="I246">
        <v>7126.41</v>
      </c>
      <c r="J246" t="s">
        <v>38</v>
      </c>
      <c r="K246" t="s">
        <v>75</v>
      </c>
    </row>
    <row r="247" spans="1:11" x14ac:dyDescent="0.2">
      <c r="A247" s="4">
        <v>46032</v>
      </c>
      <c r="B247" t="s">
        <v>223</v>
      </c>
      <c r="C247" t="s">
        <v>36</v>
      </c>
      <c r="D247">
        <v>7.1</v>
      </c>
      <c r="E247" t="s">
        <v>36</v>
      </c>
      <c r="F247">
        <v>-7.1</v>
      </c>
      <c r="H247">
        <v>0</v>
      </c>
      <c r="I247">
        <v>7147.39</v>
      </c>
      <c r="J247" t="s">
        <v>38</v>
      </c>
      <c r="K247" t="s">
        <v>75</v>
      </c>
    </row>
    <row r="248" spans="1:11" x14ac:dyDescent="0.2">
      <c r="A248" s="4">
        <v>46032</v>
      </c>
      <c r="B248" t="s">
        <v>224</v>
      </c>
      <c r="C248" t="s">
        <v>36</v>
      </c>
      <c r="D248">
        <v>4.2</v>
      </c>
      <c r="E248" t="s">
        <v>36</v>
      </c>
      <c r="F248">
        <v>-4.2</v>
      </c>
      <c r="H248">
        <v>0</v>
      </c>
      <c r="I248">
        <v>7154.49</v>
      </c>
      <c r="J248" t="s">
        <v>38</v>
      </c>
      <c r="K248" t="s">
        <v>75</v>
      </c>
    </row>
    <row r="249" spans="1:11" x14ac:dyDescent="0.2">
      <c r="A249" s="4">
        <v>46030</v>
      </c>
      <c r="B249" t="s">
        <v>225</v>
      </c>
      <c r="C249" t="s">
        <v>184</v>
      </c>
      <c r="D249">
        <v>2048.8200000000002</v>
      </c>
      <c r="E249" t="s">
        <v>36</v>
      </c>
      <c r="F249">
        <v>-106.42</v>
      </c>
      <c r="G249">
        <v>19.252686000000001</v>
      </c>
      <c r="H249">
        <v>0</v>
      </c>
      <c r="I249">
        <v>7158.69</v>
      </c>
      <c r="J249" t="s">
        <v>38</v>
      </c>
      <c r="K249" t="s">
        <v>75</v>
      </c>
    </row>
    <row r="250" spans="1:11" x14ac:dyDescent="0.2">
      <c r="A250" s="4">
        <v>46029</v>
      </c>
      <c r="B250" t="s">
        <v>226</v>
      </c>
      <c r="C250" t="s">
        <v>36</v>
      </c>
      <c r="D250">
        <v>18</v>
      </c>
      <c r="E250" t="s">
        <v>36</v>
      </c>
      <c r="F250">
        <v>-18</v>
      </c>
      <c r="H250">
        <v>0</v>
      </c>
      <c r="I250">
        <v>7265.11</v>
      </c>
      <c r="J250" t="s">
        <v>38</v>
      </c>
      <c r="K250" t="s">
        <v>75</v>
      </c>
    </row>
    <row r="251" spans="1:11" x14ac:dyDescent="0.2">
      <c r="A251" s="4">
        <v>46029</v>
      </c>
      <c r="B251" t="s">
        <v>227</v>
      </c>
      <c r="C251" t="s">
        <v>36</v>
      </c>
      <c r="D251">
        <v>386.17</v>
      </c>
      <c r="E251" t="s">
        <v>36</v>
      </c>
      <c r="F251">
        <v>386.17</v>
      </c>
      <c r="H251">
        <v>0</v>
      </c>
      <c r="I251">
        <v>7283.11</v>
      </c>
      <c r="J251" t="s">
        <v>38</v>
      </c>
      <c r="K251" t="s">
        <v>75</v>
      </c>
    </row>
    <row r="252" spans="1:11" x14ac:dyDescent="0.2">
      <c r="A252" s="4">
        <v>46029</v>
      </c>
      <c r="B252" t="s">
        <v>115</v>
      </c>
      <c r="C252" t="s">
        <v>36</v>
      </c>
      <c r="D252">
        <v>39.99</v>
      </c>
      <c r="E252" t="s">
        <v>36</v>
      </c>
      <c r="F252">
        <v>-39.99</v>
      </c>
      <c r="H252">
        <v>0</v>
      </c>
      <c r="I252">
        <v>6896.94</v>
      </c>
      <c r="J252" t="s">
        <v>38</v>
      </c>
      <c r="K252" t="s">
        <v>75</v>
      </c>
    </row>
    <row r="253" spans="1:11" x14ac:dyDescent="0.2">
      <c r="A253" s="4">
        <v>46024</v>
      </c>
      <c r="B253" t="s">
        <v>228</v>
      </c>
      <c r="C253" t="s">
        <v>36</v>
      </c>
      <c r="D253">
        <v>27.99</v>
      </c>
      <c r="E253" t="s">
        <v>36</v>
      </c>
      <c r="F253">
        <v>-27.99</v>
      </c>
      <c r="H253">
        <v>0</v>
      </c>
      <c r="I253">
        <v>6936.93</v>
      </c>
      <c r="J253" t="s">
        <v>38</v>
      </c>
      <c r="K253" t="s">
        <v>75</v>
      </c>
    </row>
    <row r="254" spans="1:11" x14ac:dyDescent="0.2">
      <c r="A254" s="4">
        <v>46027</v>
      </c>
      <c r="B254" t="s">
        <v>121</v>
      </c>
      <c r="C254" t="s">
        <v>36</v>
      </c>
      <c r="D254">
        <v>40.950000000000003</v>
      </c>
      <c r="E254" t="s">
        <v>36</v>
      </c>
      <c r="F254">
        <v>-40.950000000000003</v>
      </c>
      <c r="H254">
        <v>0</v>
      </c>
      <c r="I254">
        <v>6964.92</v>
      </c>
      <c r="J254" t="s">
        <v>38</v>
      </c>
      <c r="K254" t="s">
        <v>75</v>
      </c>
    </row>
    <row r="255" spans="1:11" x14ac:dyDescent="0.2">
      <c r="A255" s="4">
        <v>46027</v>
      </c>
      <c r="B255" t="s">
        <v>112</v>
      </c>
      <c r="C255" t="s">
        <v>37</v>
      </c>
      <c r="D255">
        <v>60</v>
      </c>
      <c r="E255" t="s">
        <v>36</v>
      </c>
      <c r="F255">
        <f>-D255/1.17</f>
        <v>-51.282051282051285</v>
      </c>
      <c r="H255">
        <v>0</v>
      </c>
      <c r="I255">
        <v>80321.990000000005</v>
      </c>
      <c r="J255" t="s">
        <v>66</v>
      </c>
      <c r="K255" t="s">
        <v>75</v>
      </c>
    </row>
    <row r="256" spans="1:11" x14ac:dyDescent="0.2">
      <c r="A256" s="4">
        <v>46026</v>
      </c>
      <c r="B256" t="s">
        <v>229</v>
      </c>
      <c r="C256" t="s">
        <v>36</v>
      </c>
      <c r="D256">
        <v>161.9</v>
      </c>
      <c r="E256" t="s">
        <v>36</v>
      </c>
      <c r="F256">
        <v>-161.9</v>
      </c>
      <c r="H256">
        <v>0</v>
      </c>
      <c r="I256">
        <v>7005.87</v>
      </c>
      <c r="J256" t="s">
        <v>38</v>
      </c>
      <c r="K256" t="s">
        <v>75</v>
      </c>
    </row>
    <row r="257" spans="1:11" x14ac:dyDescent="0.2">
      <c r="A257" s="10">
        <v>46027</v>
      </c>
      <c r="B257" s="11" t="s">
        <v>128</v>
      </c>
      <c r="C257" s="11" t="s">
        <v>36</v>
      </c>
      <c r="D257" s="11">
        <v>4000</v>
      </c>
      <c r="E257" s="11" t="s">
        <v>36</v>
      </c>
      <c r="F257" s="11">
        <v>-4000</v>
      </c>
      <c r="G257" s="11"/>
      <c r="H257" s="11">
        <v>0</v>
      </c>
      <c r="I257" s="11">
        <v>7167.77</v>
      </c>
      <c r="J257" s="11" t="s">
        <v>38</v>
      </c>
      <c r="K257" s="11" t="s">
        <v>129</v>
      </c>
    </row>
    <row r="258" spans="1:11" x14ac:dyDescent="0.2">
      <c r="A258" s="4">
        <v>46025</v>
      </c>
      <c r="B258" t="s">
        <v>230</v>
      </c>
      <c r="C258" t="s">
        <v>36</v>
      </c>
      <c r="D258">
        <v>35</v>
      </c>
      <c r="E258" t="s">
        <v>36</v>
      </c>
      <c r="F258">
        <v>-35</v>
      </c>
      <c r="H258">
        <v>0</v>
      </c>
      <c r="I258">
        <v>11167.77</v>
      </c>
      <c r="J258" t="s">
        <v>38</v>
      </c>
      <c r="K258" t="s">
        <v>75</v>
      </c>
    </row>
    <row r="259" spans="1:11" x14ac:dyDescent="0.2">
      <c r="A259" s="4">
        <v>46025</v>
      </c>
      <c r="B259" t="s">
        <v>231</v>
      </c>
      <c r="C259" t="s">
        <v>36</v>
      </c>
      <c r="D259">
        <v>386.17</v>
      </c>
      <c r="E259" t="s">
        <v>36</v>
      </c>
      <c r="F259">
        <v>-386.17</v>
      </c>
      <c r="H259">
        <v>0</v>
      </c>
      <c r="I259">
        <v>11202.77</v>
      </c>
      <c r="J259" t="s">
        <v>38</v>
      </c>
      <c r="K259" t="s">
        <v>75</v>
      </c>
    </row>
    <row r="260" spans="1:11" x14ac:dyDescent="0.2">
      <c r="A260" s="4">
        <v>46024</v>
      </c>
      <c r="B260" t="s">
        <v>222</v>
      </c>
      <c r="C260" t="s">
        <v>36</v>
      </c>
      <c r="D260">
        <v>14.96</v>
      </c>
      <c r="E260" t="s">
        <v>36</v>
      </c>
      <c r="F260">
        <v>-14.96</v>
      </c>
      <c r="H260">
        <v>0</v>
      </c>
      <c r="I260">
        <v>11588.94</v>
      </c>
      <c r="J260" t="s">
        <v>38</v>
      </c>
      <c r="K260" t="s">
        <v>75</v>
      </c>
    </row>
    <row r="261" spans="1:11" x14ac:dyDescent="0.2">
      <c r="A261" s="4">
        <v>46022</v>
      </c>
      <c r="B261" t="s">
        <v>172</v>
      </c>
      <c r="C261" t="s">
        <v>36</v>
      </c>
      <c r="D261">
        <v>15</v>
      </c>
      <c r="E261" t="s">
        <v>36</v>
      </c>
      <c r="F261">
        <v>-15</v>
      </c>
      <c r="H261">
        <v>0</v>
      </c>
      <c r="I261">
        <v>11603.9</v>
      </c>
      <c r="J261" t="s">
        <v>38</v>
      </c>
      <c r="K261" t="s">
        <v>75</v>
      </c>
    </row>
    <row r="262" spans="1:11" x14ac:dyDescent="0.2">
      <c r="A262" s="4">
        <v>46022</v>
      </c>
      <c r="B262" t="s">
        <v>153</v>
      </c>
      <c r="C262" t="s">
        <v>36</v>
      </c>
      <c r="D262">
        <v>8</v>
      </c>
      <c r="E262" t="s">
        <v>36</v>
      </c>
      <c r="F262">
        <v>-8</v>
      </c>
      <c r="H262">
        <v>0</v>
      </c>
      <c r="I262">
        <v>11618.9</v>
      </c>
      <c r="J262" t="s">
        <v>38</v>
      </c>
      <c r="K26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6E87-AF36-C44B-A71E-D0C8559748BA}">
  <dimension ref="A1:H36"/>
  <sheetViews>
    <sheetView workbookViewId="0">
      <selection activeCell="E14" sqref="E14"/>
    </sheetView>
  </sheetViews>
  <sheetFormatPr baseColWidth="10" defaultRowHeight="16" x14ac:dyDescent="0.2"/>
  <cols>
    <col min="1" max="1" width="19.83203125" bestFit="1" customWidth="1"/>
  </cols>
  <sheetData>
    <row r="1" spans="1:8" x14ac:dyDescent="0.2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</row>
    <row r="2" spans="1:8" x14ac:dyDescent="0.2">
      <c r="A2" s="30">
        <v>46199.223032407404</v>
      </c>
      <c r="B2">
        <v>-292.79000000000002</v>
      </c>
      <c r="C2">
        <v>292.79000000000002</v>
      </c>
      <c r="E2">
        <v>555.13</v>
      </c>
      <c r="F2" t="s">
        <v>36</v>
      </c>
      <c r="G2" t="s">
        <v>240</v>
      </c>
    </row>
    <row r="3" spans="1:8" x14ac:dyDescent="0.2">
      <c r="A3" s="30">
        <v>46198.248078703706</v>
      </c>
      <c r="B3">
        <v>-60.58</v>
      </c>
      <c r="C3">
        <v>60.58</v>
      </c>
      <c r="E3">
        <v>847.92</v>
      </c>
      <c r="F3" t="s">
        <v>36</v>
      </c>
      <c r="G3" t="s">
        <v>241</v>
      </c>
    </row>
    <row r="4" spans="1:8" x14ac:dyDescent="0.2">
      <c r="A4" s="30">
        <v>46197.223402777781</v>
      </c>
      <c r="B4">
        <v>-550.80999999999995</v>
      </c>
      <c r="C4">
        <v>550.80999999999995</v>
      </c>
      <c r="E4">
        <v>908.5</v>
      </c>
      <c r="F4" t="s">
        <v>36</v>
      </c>
      <c r="G4" t="s">
        <v>240</v>
      </c>
    </row>
    <row r="5" spans="1:8" x14ac:dyDescent="0.2">
      <c r="A5" s="30">
        <v>46197.22</v>
      </c>
      <c r="B5">
        <v>-10.3</v>
      </c>
      <c r="C5">
        <v>10.3</v>
      </c>
      <c r="E5">
        <v>1459.31</v>
      </c>
      <c r="F5" t="s">
        <v>36</v>
      </c>
      <c r="G5" t="s">
        <v>242</v>
      </c>
    </row>
    <row r="6" spans="1:8" x14ac:dyDescent="0.2">
      <c r="A6" s="30">
        <v>46189.231678240743</v>
      </c>
      <c r="B6">
        <v>-289</v>
      </c>
      <c r="C6">
        <v>289</v>
      </c>
      <c r="E6">
        <v>1469.61</v>
      </c>
      <c r="F6" t="s">
        <v>36</v>
      </c>
      <c r="G6" t="s">
        <v>243</v>
      </c>
    </row>
    <row r="7" spans="1:8" x14ac:dyDescent="0.2">
      <c r="A7" s="30">
        <v>46170.220717592594</v>
      </c>
      <c r="B7">
        <v>-60.58</v>
      </c>
      <c r="C7">
        <v>60.58</v>
      </c>
      <c r="E7">
        <v>1758.61</v>
      </c>
      <c r="F7" t="s">
        <v>36</v>
      </c>
      <c r="G7" t="s">
        <v>241</v>
      </c>
    </row>
    <row r="8" spans="1:8" x14ac:dyDescent="0.2">
      <c r="A8" s="30">
        <v>46168.220231481479</v>
      </c>
      <c r="B8">
        <v>-292.79000000000002</v>
      </c>
      <c r="C8">
        <v>292.79000000000002</v>
      </c>
      <c r="E8">
        <v>1819.19</v>
      </c>
      <c r="F8" t="s">
        <v>36</v>
      </c>
      <c r="G8" t="s">
        <v>240</v>
      </c>
    </row>
    <row r="9" spans="1:8" x14ac:dyDescent="0.2">
      <c r="A9" s="30">
        <v>46167.220335648148</v>
      </c>
      <c r="B9">
        <v>-9.99</v>
      </c>
      <c r="C9">
        <v>9.99</v>
      </c>
      <c r="E9">
        <v>2111.98</v>
      </c>
      <c r="F9" t="s">
        <v>36</v>
      </c>
      <c r="G9" t="s">
        <v>242</v>
      </c>
    </row>
    <row r="10" spans="1:8" x14ac:dyDescent="0.2">
      <c r="A10" s="30">
        <v>46164.581620370373</v>
      </c>
      <c r="B10">
        <v>2000</v>
      </c>
      <c r="D10">
        <v>2000</v>
      </c>
      <c r="E10">
        <v>2121.9699999999998</v>
      </c>
      <c r="F10" t="s">
        <v>36</v>
      </c>
      <c r="G10" t="s">
        <v>244</v>
      </c>
      <c r="H10" t="s">
        <v>245</v>
      </c>
    </row>
    <row r="11" spans="1:8" x14ac:dyDescent="0.2">
      <c r="A11" s="30">
        <v>46160.224537037036</v>
      </c>
      <c r="B11">
        <v>-295</v>
      </c>
      <c r="C11">
        <v>295</v>
      </c>
      <c r="E11">
        <v>121.97</v>
      </c>
      <c r="F11" t="s">
        <v>36</v>
      </c>
      <c r="G11" t="s">
        <v>243</v>
      </c>
    </row>
    <row r="12" spans="1:8" x14ac:dyDescent="0.2">
      <c r="A12" s="30">
        <v>46139.223692129628</v>
      </c>
      <c r="B12">
        <v>-292.79000000000002</v>
      </c>
      <c r="C12">
        <v>292.79000000000002</v>
      </c>
      <c r="E12">
        <v>416.97</v>
      </c>
      <c r="F12" t="s">
        <v>36</v>
      </c>
      <c r="G12" t="s">
        <v>240</v>
      </c>
    </row>
    <row r="13" spans="1:8" x14ac:dyDescent="0.2">
      <c r="A13" s="30">
        <v>46139.220983796295</v>
      </c>
      <c r="B13">
        <v>-60.58</v>
      </c>
      <c r="C13">
        <v>60.58</v>
      </c>
      <c r="E13">
        <v>709.76</v>
      </c>
      <c r="F13" t="s">
        <v>36</v>
      </c>
      <c r="G13" t="s">
        <v>241</v>
      </c>
    </row>
    <row r="14" spans="1:8" x14ac:dyDescent="0.2">
      <c r="A14" s="30">
        <v>46135.222118055557</v>
      </c>
      <c r="B14">
        <v>-9.99</v>
      </c>
      <c r="C14">
        <v>9.99</v>
      </c>
      <c r="E14">
        <v>770.34</v>
      </c>
      <c r="F14" t="s">
        <v>36</v>
      </c>
      <c r="G14" t="s">
        <v>242</v>
      </c>
    </row>
    <row r="15" spans="1:8" x14ac:dyDescent="0.2">
      <c r="A15" s="30">
        <v>46134.225162037037</v>
      </c>
      <c r="B15">
        <v>-137</v>
      </c>
      <c r="C15">
        <v>137</v>
      </c>
      <c r="E15">
        <v>780.33</v>
      </c>
      <c r="F15" t="s">
        <v>36</v>
      </c>
      <c r="G15" t="s">
        <v>246</v>
      </c>
    </row>
    <row r="16" spans="1:8" x14ac:dyDescent="0.2">
      <c r="A16" s="30">
        <v>46128.237453703703</v>
      </c>
      <c r="B16">
        <v>-289</v>
      </c>
      <c r="C16">
        <v>289</v>
      </c>
      <c r="E16">
        <v>917.33</v>
      </c>
      <c r="F16" t="s">
        <v>36</v>
      </c>
      <c r="G16" t="s">
        <v>243</v>
      </c>
    </row>
    <row r="17" spans="1:7" x14ac:dyDescent="0.2">
      <c r="A17" s="30">
        <v>46107.268506944441</v>
      </c>
      <c r="B17">
        <v>-292.79000000000002</v>
      </c>
      <c r="C17">
        <v>292.79000000000002</v>
      </c>
      <c r="E17">
        <v>1206.33</v>
      </c>
      <c r="F17" t="s">
        <v>36</v>
      </c>
      <c r="G17" t="s">
        <v>240</v>
      </c>
    </row>
    <row r="18" spans="1:7" x14ac:dyDescent="0.2">
      <c r="A18" s="30">
        <v>46106.326770833337</v>
      </c>
      <c r="B18">
        <v>-60.58</v>
      </c>
      <c r="C18">
        <v>60.58</v>
      </c>
      <c r="E18">
        <v>1499.12</v>
      </c>
      <c r="F18" t="s">
        <v>36</v>
      </c>
      <c r="G18" t="s">
        <v>241</v>
      </c>
    </row>
    <row r="19" spans="1:7" x14ac:dyDescent="0.2">
      <c r="A19" s="30">
        <v>46106.271006944444</v>
      </c>
      <c r="B19">
        <v>-17.079999999999998</v>
      </c>
      <c r="C19">
        <v>17.079999999999998</v>
      </c>
      <c r="E19">
        <v>1559.7</v>
      </c>
      <c r="F19" t="s">
        <v>36</v>
      </c>
      <c r="G19" t="s">
        <v>242</v>
      </c>
    </row>
    <row r="20" spans="1:7" x14ac:dyDescent="0.2">
      <c r="A20" s="30">
        <v>46105.298981481479</v>
      </c>
      <c r="B20">
        <v>-137</v>
      </c>
      <c r="C20">
        <v>137</v>
      </c>
      <c r="E20">
        <v>1576.78</v>
      </c>
      <c r="F20" t="s">
        <v>36</v>
      </c>
      <c r="G20" t="s">
        <v>246</v>
      </c>
    </row>
    <row r="21" spans="1:7" x14ac:dyDescent="0.2">
      <c r="A21" s="30">
        <v>46098.297326388885</v>
      </c>
      <c r="B21">
        <v>-289</v>
      </c>
      <c r="C21">
        <v>289</v>
      </c>
      <c r="E21">
        <v>1713.78</v>
      </c>
      <c r="F21" t="s">
        <v>36</v>
      </c>
      <c r="G21" t="s">
        <v>243</v>
      </c>
    </row>
    <row r="22" spans="1:7" x14ac:dyDescent="0.2">
      <c r="A22" s="30">
        <v>46082.076782407406</v>
      </c>
      <c r="B22">
        <v>-2.4</v>
      </c>
      <c r="C22">
        <v>2.4</v>
      </c>
      <c r="E22">
        <v>2002.78</v>
      </c>
      <c r="F22" t="s">
        <v>36</v>
      </c>
      <c r="G22" t="s">
        <v>247</v>
      </c>
    </row>
    <row r="23" spans="1:7" x14ac:dyDescent="0.2">
      <c r="A23" s="30">
        <v>46079.279756944445</v>
      </c>
      <c r="B23">
        <v>-292.79000000000002</v>
      </c>
      <c r="C23">
        <v>292.79000000000002</v>
      </c>
      <c r="E23">
        <v>2005.18</v>
      </c>
      <c r="F23" t="s">
        <v>36</v>
      </c>
      <c r="G23" t="s">
        <v>240</v>
      </c>
    </row>
    <row r="24" spans="1:7" x14ac:dyDescent="0.2">
      <c r="A24" s="30">
        <v>46078.332118055558</v>
      </c>
      <c r="B24">
        <v>-60.58</v>
      </c>
      <c r="C24">
        <v>60.58</v>
      </c>
      <c r="E24">
        <v>2297.9699999999998</v>
      </c>
      <c r="F24" t="s">
        <v>36</v>
      </c>
      <c r="G24" t="s">
        <v>241</v>
      </c>
    </row>
    <row r="25" spans="1:7" x14ac:dyDescent="0.2">
      <c r="A25" s="30">
        <v>46078.266412037039</v>
      </c>
      <c r="B25">
        <v>-9.99</v>
      </c>
      <c r="C25">
        <v>9.99</v>
      </c>
      <c r="E25">
        <v>2358.5500000000002</v>
      </c>
      <c r="F25" t="s">
        <v>36</v>
      </c>
      <c r="G25" t="s">
        <v>242</v>
      </c>
    </row>
    <row r="26" spans="1:7" x14ac:dyDescent="0.2">
      <c r="A26" s="30">
        <v>46077.296597222223</v>
      </c>
      <c r="B26">
        <v>-137</v>
      </c>
      <c r="C26">
        <v>137</v>
      </c>
      <c r="E26">
        <v>2368.54</v>
      </c>
      <c r="F26" t="s">
        <v>36</v>
      </c>
      <c r="G26" t="s">
        <v>246</v>
      </c>
    </row>
    <row r="27" spans="1:7" x14ac:dyDescent="0.2">
      <c r="A27" s="30">
        <v>46070.298252314817</v>
      </c>
      <c r="B27">
        <v>-289</v>
      </c>
      <c r="C27">
        <v>289</v>
      </c>
      <c r="E27">
        <v>2505.54</v>
      </c>
      <c r="F27" t="s">
        <v>36</v>
      </c>
      <c r="G27" t="s">
        <v>243</v>
      </c>
    </row>
    <row r="28" spans="1:7" x14ac:dyDescent="0.2">
      <c r="A28" s="30">
        <v>46054.077326388891</v>
      </c>
      <c r="B28">
        <v>-2.4</v>
      </c>
      <c r="C28">
        <v>2.4</v>
      </c>
      <c r="E28">
        <v>2794.54</v>
      </c>
      <c r="F28" t="s">
        <v>36</v>
      </c>
      <c r="G28" t="s">
        <v>247</v>
      </c>
    </row>
    <row r="29" spans="1:7" x14ac:dyDescent="0.2">
      <c r="A29" s="30">
        <v>46048.328935185185</v>
      </c>
      <c r="B29">
        <v>-59.87</v>
      </c>
      <c r="C29">
        <v>59.87</v>
      </c>
      <c r="E29">
        <v>2796.94</v>
      </c>
      <c r="F29" t="s">
        <v>36</v>
      </c>
      <c r="G29" t="s">
        <v>241</v>
      </c>
    </row>
    <row r="30" spans="1:7" x14ac:dyDescent="0.2">
      <c r="A30" s="30">
        <v>46048.287106481483</v>
      </c>
      <c r="B30">
        <v>-292.79000000000002</v>
      </c>
      <c r="C30">
        <v>292.79000000000002</v>
      </c>
      <c r="E30">
        <v>2856.81</v>
      </c>
      <c r="F30" t="s">
        <v>36</v>
      </c>
      <c r="G30" t="s">
        <v>240</v>
      </c>
    </row>
    <row r="31" spans="1:7" x14ac:dyDescent="0.2">
      <c r="A31" s="30">
        <v>46045.275590277779</v>
      </c>
      <c r="B31">
        <v>-9.99</v>
      </c>
      <c r="C31">
        <v>9.99</v>
      </c>
      <c r="E31">
        <v>3149.6</v>
      </c>
      <c r="F31" t="s">
        <v>36</v>
      </c>
      <c r="G31" t="s">
        <v>242</v>
      </c>
    </row>
    <row r="32" spans="1:7" x14ac:dyDescent="0.2">
      <c r="A32" s="30">
        <v>46038.276412037034</v>
      </c>
      <c r="B32">
        <v>-286</v>
      </c>
      <c r="C32">
        <v>286</v>
      </c>
      <c r="E32">
        <v>3159.59</v>
      </c>
      <c r="F32" t="s">
        <v>36</v>
      </c>
      <c r="G32" t="s">
        <v>243</v>
      </c>
    </row>
    <row r="33" spans="1:8" x14ac:dyDescent="0.2">
      <c r="A33" s="30">
        <v>46036.275914351849</v>
      </c>
      <c r="B33">
        <v>-292.79000000000002</v>
      </c>
      <c r="C33">
        <v>292.79000000000002</v>
      </c>
      <c r="E33">
        <v>3445.59</v>
      </c>
      <c r="F33" t="s">
        <v>36</v>
      </c>
      <c r="G33" t="s">
        <v>240</v>
      </c>
    </row>
    <row r="34" spans="1:8" x14ac:dyDescent="0.2">
      <c r="A34" s="30">
        <v>46031.280752314815</v>
      </c>
      <c r="B34">
        <v>-286</v>
      </c>
      <c r="C34">
        <v>286</v>
      </c>
      <c r="E34">
        <v>3738.38</v>
      </c>
      <c r="F34" t="s">
        <v>36</v>
      </c>
      <c r="G34" t="s">
        <v>243</v>
      </c>
    </row>
    <row r="35" spans="1:8" x14ac:dyDescent="0.2">
      <c r="A35" s="30">
        <v>46027.485439814816</v>
      </c>
      <c r="B35">
        <v>4000</v>
      </c>
      <c r="D35">
        <v>4000</v>
      </c>
      <c r="E35">
        <v>4024.38</v>
      </c>
      <c r="F35" t="s">
        <v>36</v>
      </c>
      <c r="G35" t="s">
        <v>244</v>
      </c>
      <c r="H35" t="s">
        <v>245</v>
      </c>
    </row>
    <row r="36" spans="1:8" x14ac:dyDescent="0.2">
      <c r="A36" s="30">
        <v>46023.077037037037</v>
      </c>
      <c r="B36">
        <v>-2.4</v>
      </c>
      <c r="C36">
        <v>2.4</v>
      </c>
      <c r="E36">
        <v>24.38</v>
      </c>
      <c r="F36" t="s">
        <v>36</v>
      </c>
      <c r="G36" t="s">
        <v>247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46d01b-cbcd-481a-a2d1-30a340e835f9}" enabled="1" method="Standard" siteId="{2fc24114-f31b-4c29-986a-6945244c7d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Factu</vt:lpstr>
      <vt:lpstr>revolut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Garnier</dc:creator>
  <cp:lastModifiedBy>Louis Garnier</cp:lastModifiedBy>
  <dcterms:created xsi:type="dcterms:W3CDTF">2026-01-30T18:32:05Z</dcterms:created>
  <dcterms:modified xsi:type="dcterms:W3CDTF">2026-06-30T22:38:54Z</dcterms:modified>
</cp:coreProperties>
</file>